
<file path=[Content_Types].xml><?xml version="1.0" encoding="utf-8"?>
<Types xmlns="http://schemas.openxmlformats.org/package/2006/content-types">
  <Default Extension="emf" ContentType="image/x-emf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akpoo\Downloads\"/>
    </mc:Choice>
  </mc:AlternateContent>
  <xr:revisionPtr revIDLastSave="0" documentId="13_ncr:1_{E42F2130-284D-4E1B-B39D-B5CDBFC409E8}" xr6:coauthVersionLast="47" xr6:coauthVersionMax="47" xr10:uidLastSave="{00000000-0000-0000-0000-000000000000}"/>
  <bookViews>
    <workbookView xWindow="-108" yWindow="-108" windowWidth="23256" windowHeight="12456" activeTab="2" xr2:uid="{E39F1B53-3127-4D6C-88BD-079CCE5E8692}"/>
  </bookViews>
  <sheets>
    <sheet name="Model output" sheetId="4" r:id="rId1"/>
    <sheet name="working file" sheetId="2" r:id="rId2"/>
    <sheet name="tips_table" sheetId="1" r:id="rId3"/>
    <sheet name="Dashboard" sheetId="5" r:id="rId4"/>
  </sheets>
  <definedNames>
    <definedName name="_xlnm._FilterDatabase" localSheetId="2" hidden="1">tips_table!$A$1:$G$244</definedName>
  </definedNames>
  <calcPr calcId="191028"/>
  <pivotCaches>
    <pivotCache cacheId="7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3" i="1" l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" i="1"/>
  <c r="A246" i="1"/>
  <c r="AC3" i="1" l="1"/>
  <c r="AC4" i="1"/>
  <c r="AC5" i="1"/>
  <c r="AC6" i="1"/>
  <c r="AC7" i="1"/>
  <c r="AC8" i="1"/>
  <c r="AC9" i="1"/>
  <c r="AC10" i="1"/>
  <c r="AC11" i="1"/>
  <c r="AC12" i="1"/>
  <c r="AC13" i="1"/>
  <c r="AC14" i="1"/>
  <c r="AC15" i="1"/>
  <c r="AC16" i="1"/>
  <c r="AC17" i="1"/>
  <c r="AC18" i="1"/>
  <c r="AC19" i="1"/>
  <c r="AC20" i="1"/>
  <c r="AC21" i="1"/>
  <c r="AC22" i="1"/>
  <c r="AC23" i="1"/>
  <c r="AC24" i="1"/>
  <c r="AC25" i="1"/>
  <c r="AC26" i="1"/>
  <c r="AC27" i="1"/>
  <c r="AC28" i="1"/>
  <c r="AC29" i="1"/>
  <c r="AC30" i="1"/>
  <c r="AC31" i="1"/>
  <c r="AC32" i="1"/>
  <c r="AC33" i="1"/>
  <c r="AC34" i="1"/>
  <c r="AC35" i="1"/>
  <c r="AC36" i="1"/>
  <c r="AC37" i="1"/>
  <c r="AC38" i="1"/>
  <c r="AC39" i="1"/>
  <c r="AC40" i="1"/>
  <c r="AC41" i="1"/>
  <c r="AC42" i="1"/>
  <c r="AC43" i="1"/>
  <c r="AC44" i="1"/>
  <c r="AC45" i="1"/>
  <c r="AC46" i="1"/>
  <c r="AC47" i="1"/>
  <c r="AC48" i="1"/>
  <c r="AC49" i="1"/>
  <c r="AC50" i="1"/>
  <c r="AC51" i="1"/>
  <c r="AC52" i="1"/>
  <c r="AC53" i="1"/>
  <c r="AC54" i="1"/>
  <c r="AC55" i="1"/>
  <c r="AC56" i="1"/>
  <c r="AC57" i="1"/>
  <c r="AC58" i="1"/>
  <c r="AC59" i="1"/>
  <c r="AC60" i="1"/>
  <c r="AC61" i="1"/>
  <c r="AC62" i="1"/>
  <c r="AC63" i="1"/>
  <c r="AC64" i="1"/>
  <c r="AC65" i="1"/>
  <c r="AC66" i="1"/>
  <c r="AC67" i="1"/>
  <c r="AC68" i="1"/>
  <c r="AC69" i="1"/>
  <c r="AC70" i="1"/>
  <c r="AC71" i="1"/>
  <c r="AC72" i="1"/>
  <c r="AC73" i="1"/>
  <c r="AC74" i="1"/>
  <c r="AC75" i="1"/>
  <c r="AC76" i="1"/>
  <c r="AC77" i="1"/>
  <c r="AC78" i="1"/>
  <c r="AC79" i="1"/>
  <c r="AC80" i="1"/>
  <c r="AC81" i="1"/>
  <c r="AC82" i="1"/>
  <c r="AC83" i="1"/>
  <c r="AC84" i="1"/>
  <c r="AC85" i="1"/>
  <c r="AC86" i="1"/>
  <c r="AC87" i="1"/>
  <c r="AC88" i="1"/>
  <c r="AC89" i="1"/>
  <c r="AC90" i="1"/>
  <c r="AC91" i="1"/>
  <c r="AC92" i="1"/>
  <c r="AC93" i="1"/>
  <c r="AC94" i="1"/>
  <c r="AC95" i="1"/>
  <c r="AC96" i="1"/>
  <c r="AC97" i="1"/>
  <c r="AC98" i="1"/>
  <c r="AC99" i="1"/>
  <c r="AC100" i="1"/>
  <c r="AC101" i="1"/>
  <c r="AC102" i="1"/>
  <c r="AC103" i="1"/>
  <c r="AC104" i="1"/>
  <c r="AC105" i="1"/>
  <c r="AC106" i="1"/>
  <c r="AC107" i="1"/>
  <c r="AC108" i="1"/>
  <c r="AC109" i="1"/>
  <c r="AC110" i="1"/>
  <c r="AC111" i="1"/>
  <c r="AC112" i="1"/>
  <c r="AC113" i="1"/>
  <c r="AC114" i="1"/>
  <c r="AC115" i="1"/>
  <c r="AC116" i="1"/>
  <c r="AC117" i="1"/>
  <c r="AC118" i="1"/>
  <c r="AC119" i="1"/>
  <c r="AC120" i="1"/>
  <c r="AC121" i="1"/>
  <c r="AC122" i="1"/>
  <c r="AC123" i="1"/>
  <c r="AC124" i="1"/>
  <c r="AC125" i="1"/>
  <c r="AC126" i="1"/>
  <c r="AC127" i="1"/>
  <c r="AC128" i="1"/>
  <c r="AC129" i="1"/>
  <c r="AC130" i="1"/>
  <c r="AC131" i="1"/>
  <c r="AC132" i="1"/>
  <c r="AC133" i="1"/>
  <c r="AC134" i="1"/>
  <c r="AC135" i="1"/>
  <c r="AC136" i="1"/>
  <c r="AC137" i="1"/>
  <c r="AC138" i="1"/>
  <c r="AC139" i="1"/>
  <c r="AC140" i="1"/>
  <c r="AC141" i="1"/>
  <c r="AC142" i="1"/>
  <c r="AC143" i="1"/>
  <c r="AC144" i="1"/>
  <c r="AC145" i="1"/>
  <c r="AC146" i="1"/>
  <c r="AC147" i="1"/>
  <c r="AC148" i="1"/>
  <c r="AC149" i="1"/>
  <c r="AC150" i="1"/>
  <c r="AC151" i="1"/>
  <c r="AC152" i="1"/>
  <c r="AC153" i="1"/>
  <c r="AC154" i="1"/>
  <c r="AC155" i="1"/>
  <c r="AC156" i="1"/>
  <c r="AC157" i="1"/>
  <c r="AC158" i="1"/>
  <c r="AC159" i="1"/>
  <c r="AC160" i="1"/>
  <c r="AC161" i="1"/>
  <c r="AC162" i="1"/>
  <c r="AC163" i="1"/>
  <c r="AC164" i="1"/>
  <c r="AC165" i="1"/>
  <c r="AC166" i="1"/>
  <c r="AC167" i="1"/>
  <c r="AC168" i="1"/>
  <c r="AC169" i="1"/>
  <c r="AC170" i="1"/>
  <c r="AC171" i="1"/>
  <c r="AC172" i="1"/>
  <c r="AC173" i="1"/>
  <c r="AC174" i="1"/>
  <c r="AC175" i="1"/>
  <c r="AC176" i="1"/>
  <c r="AC177" i="1"/>
  <c r="AC178" i="1"/>
  <c r="AC179" i="1"/>
  <c r="AC180" i="1"/>
  <c r="AC181" i="1"/>
  <c r="AC182" i="1"/>
  <c r="AC183" i="1"/>
  <c r="AC184" i="1"/>
  <c r="AC185" i="1"/>
  <c r="AC186" i="1"/>
  <c r="AC187" i="1"/>
  <c r="AC188" i="1"/>
  <c r="AC189" i="1"/>
  <c r="AC190" i="1"/>
  <c r="AC191" i="1"/>
  <c r="AC192" i="1"/>
  <c r="AC193" i="1"/>
  <c r="AC194" i="1"/>
  <c r="AC195" i="1"/>
  <c r="AC196" i="1"/>
  <c r="AC197" i="1"/>
  <c r="AC198" i="1"/>
  <c r="AC199" i="1"/>
  <c r="AC200" i="1"/>
  <c r="AC201" i="1"/>
  <c r="AC202" i="1"/>
  <c r="AC203" i="1"/>
  <c r="AC204" i="1"/>
  <c r="AC205" i="1"/>
  <c r="AC206" i="1"/>
  <c r="AC207" i="1"/>
  <c r="AC208" i="1"/>
  <c r="AC209" i="1"/>
  <c r="AC210" i="1"/>
  <c r="AC211" i="1"/>
  <c r="AC212" i="1"/>
  <c r="AC213" i="1"/>
  <c r="AC214" i="1"/>
  <c r="AC215" i="1"/>
  <c r="AC216" i="1"/>
  <c r="AC217" i="1"/>
  <c r="AC218" i="1"/>
  <c r="AC219" i="1"/>
  <c r="AC220" i="1"/>
  <c r="AC221" i="1"/>
  <c r="AC222" i="1"/>
  <c r="AC223" i="1"/>
  <c r="AC224" i="1"/>
  <c r="AC225" i="1"/>
  <c r="AC226" i="1"/>
  <c r="AC227" i="1"/>
  <c r="AC228" i="1"/>
  <c r="AC229" i="1"/>
  <c r="AC230" i="1"/>
  <c r="AC231" i="1"/>
  <c r="AC232" i="1"/>
  <c r="AC233" i="1"/>
  <c r="AC234" i="1"/>
  <c r="AC235" i="1"/>
  <c r="AC236" i="1"/>
  <c r="AC237" i="1"/>
  <c r="AC238" i="1"/>
  <c r="AC239" i="1"/>
  <c r="AC240" i="1"/>
  <c r="AC241" i="1"/>
  <c r="AC242" i="1"/>
  <c r="AC243" i="1"/>
  <c r="AC244" i="1"/>
  <c r="AC2" i="1"/>
  <c r="AB3" i="1"/>
  <c r="AB4" i="1"/>
  <c r="AB5" i="1"/>
  <c r="AB6" i="1"/>
  <c r="AB7" i="1"/>
  <c r="AB8" i="1"/>
  <c r="AB9" i="1"/>
  <c r="AB10" i="1"/>
  <c r="AB11" i="1"/>
  <c r="AB12" i="1"/>
  <c r="AB13" i="1"/>
  <c r="AB14" i="1"/>
  <c r="AB15" i="1"/>
  <c r="AB16" i="1"/>
  <c r="AB17" i="1"/>
  <c r="AB18" i="1"/>
  <c r="AB19" i="1"/>
  <c r="AB20" i="1"/>
  <c r="AB21" i="1"/>
  <c r="AB22" i="1"/>
  <c r="AB23" i="1"/>
  <c r="AB24" i="1"/>
  <c r="AB25" i="1"/>
  <c r="AB26" i="1"/>
  <c r="AB27" i="1"/>
  <c r="AB28" i="1"/>
  <c r="AB29" i="1"/>
  <c r="AB30" i="1"/>
  <c r="AB31" i="1"/>
  <c r="AB32" i="1"/>
  <c r="AB33" i="1"/>
  <c r="AB34" i="1"/>
  <c r="AB35" i="1"/>
  <c r="AB36" i="1"/>
  <c r="AB37" i="1"/>
  <c r="AB38" i="1"/>
  <c r="AB39" i="1"/>
  <c r="AB40" i="1"/>
  <c r="AB41" i="1"/>
  <c r="AB42" i="1"/>
  <c r="AB43" i="1"/>
  <c r="AB44" i="1"/>
  <c r="AB45" i="1"/>
  <c r="AB46" i="1"/>
  <c r="AB47" i="1"/>
  <c r="AB48" i="1"/>
  <c r="AB49" i="1"/>
  <c r="AB50" i="1"/>
  <c r="AB51" i="1"/>
  <c r="AB52" i="1"/>
  <c r="AB53" i="1"/>
  <c r="AB54" i="1"/>
  <c r="AB55" i="1"/>
  <c r="AB56" i="1"/>
  <c r="AB57" i="1"/>
  <c r="AB58" i="1"/>
  <c r="AB59" i="1"/>
  <c r="AB60" i="1"/>
  <c r="AB61" i="1"/>
  <c r="AB62" i="1"/>
  <c r="AB63" i="1"/>
  <c r="AB64" i="1"/>
  <c r="AB65" i="1"/>
  <c r="AB66" i="1"/>
  <c r="AB67" i="1"/>
  <c r="AB68" i="1"/>
  <c r="AB69" i="1"/>
  <c r="AB70" i="1"/>
  <c r="AB71" i="1"/>
  <c r="AB72" i="1"/>
  <c r="AB73" i="1"/>
  <c r="AB74" i="1"/>
  <c r="AB75" i="1"/>
  <c r="AB76" i="1"/>
  <c r="AB77" i="1"/>
  <c r="AB78" i="1"/>
  <c r="AB79" i="1"/>
  <c r="AB80" i="1"/>
  <c r="AB81" i="1"/>
  <c r="AB82" i="1"/>
  <c r="AB83" i="1"/>
  <c r="AB84" i="1"/>
  <c r="AB85" i="1"/>
  <c r="AB86" i="1"/>
  <c r="AB87" i="1"/>
  <c r="AB88" i="1"/>
  <c r="AB89" i="1"/>
  <c r="AB90" i="1"/>
  <c r="AB91" i="1"/>
  <c r="AB92" i="1"/>
  <c r="AB93" i="1"/>
  <c r="AB94" i="1"/>
  <c r="AB95" i="1"/>
  <c r="AB96" i="1"/>
  <c r="AB97" i="1"/>
  <c r="AB98" i="1"/>
  <c r="AB99" i="1"/>
  <c r="AB100" i="1"/>
  <c r="AB101" i="1"/>
  <c r="AB102" i="1"/>
  <c r="AB103" i="1"/>
  <c r="AB104" i="1"/>
  <c r="AB105" i="1"/>
  <c r="AB106" i="1"/>
  <c r="AB107" i="1"/>
  <c r="AB108" i="1"/>
  <c r="AB109" i="1"/>
  <c r="AB110" i="1"/>
  <c r="AB111" i="1"/>
  <c r="AB112" i="1"/>
  <c r="AB113" i="1"/>
  <c r="AB114" i="1"/>
  <c r="AB115" i="1"/>
  <c r="AB116" i="1"/>
  <c r="AB117" i="1"/>
  <c r="AB118" i="1"/>
  <c r="AB119" i="1"/>
  <c r="AB120" i="1"/>
  <c r="AB121" i="1"/>
  <c r="AB122" i="1"/>
  <c r="AB123" i="1"/>
  <c r="AB124" i="1"/>
  <c r="AB125" i="1"/>
  <c r="AB126" i="1"/>
  <c r="AB127" i="1"/>
  <c r="AB128" i="1"/>
  <c r="AB129" i="1"/>
  <c r="AB130" i="1"/>
  <c r="AB131" i="1"/>
  <c r="AB132" i="1"/>
  <c r="AB133" i="1"/>
  <c r="AB134" i="1"/>
  <c r="AB135" i="1"/>
  <c r="AB136" i="1"/>
  <c r="AB137" i="1"/>
  <c r="AB138" i="1"/>
  <c r="AB139" i="1"/>
  <c r="AB140" i="1"/>
  <c r="AB141" i="1"/>
  <c r="AB142" i="1"/>
  <c r="AB143" i="1"/>
  <c r="AB144" i="1"/>
  <c r="AB145" i="1"/>
  <c r="AB146" i="1"/>
  <c r="AB147" i="1"/>
  <c r="AB148" i="1"/>
  <c r="AB149" i="1"/>
  <c r="AB150" i="1"/>
  <c r="AB151" i="1"/>
  <c r="AB152" i="1"/>
  <c r="AB153" i="1"/>
  <c r="AB154" i="1"/>
  <c r="AB155" i="1"/>
  <c r="AB156" i="1"/>
  <c r="AB157" i="1"/>
  <c r="AB158" i="1"/>
  <c r="AB159" i="1"/>
  <c r="AB160" i="1"/>
  <c r="AB161" i="1"/>
  <c r="AB162" i="1"/>
  <c r="AB163" i="1"/>
  <c r="AB164" i="1"/>
  <c r="AB165" i="1"/>
  <c r="AB166" i="1"/>
  <c r="AB167" i="1"/>
  <c r="AB168" i="1"/>
  <c r="AB169" i="1"/>
  <c r="AB170" i="1"/>
  <c r="AB171" i="1"/>
  <c r="AB172" i="1"/>
  <c r="AB173" i="1"/>
  <c r="AB174" i="1"/>
  <c r="AB175" i="1"/>
  <c r="AB176" i="1"/>
  <c r="AB177" i="1"/>
  <c r="AB178" i="1"/>
  <c r="AB179" i="1"/>
  <c r="AB180" i="1"/>
  <c r="AB181" i="1"/>
  <c r="AB182" i="1"/>
  <c r="AB183" i="1"/>
  <c r="AB184" i="1"/>
  <c r="AB185" i="1"/>
  <c r="AB186" i="1"/>
  <c r="AB187" i="1"/>
  <c r="AB188" i="1"/>
  <c r="AB189" i="1"/>
  <c r="AB190" i="1"/>
  <c r="AB191" i="1"/>
  <c r="AB192" i="1"/>
  <c r="AB193" i="1"/>
  <c r="AB194" i="1"/>
  <c r="AB195" i="1"/>
  <c r="AB196" i="1"/>
  <c r="AB197" i="1"/>
  <c r="AB198" i="1"/>
  <c r="AB199" i="1"/>
  <c r="AB200" i="1"/>
  <c r="AB201" i="1"/>
  <c r="AB202" i="1"/>
  <c r="AB203" i="1"/>
  <c r="AB204" i="1"/>
  <c r="AB205" i="1"/>
  <c r="AB206" i="1"/>
  <c r="AB207" i="1"/>
  <c r="AB208" i="1"/>
  <c r="AB209" i="1"/>
  <c r="AB210" i="1"/>
  <c r="AB211" i="1"/>
  <c r="AB212" i="1"/>
  <c r="AB213" i="1"/>
  <c r="AB214" i="1"/>
  <c r="AB215" i="1"/>
  <c r="AB216" i="1"/>
  <c r="AB217" i="1"/>
  <c r="AB218" i="1"/>
  <c r="AB219" i="1"/>
  <c r="AB220" i="1"/>
  <c r="AB221" i="1"/>
  <c r="AB222" i="1"/>
  <c r="AB223" i="1"/>
  <c r="AB224" i="1"/>
  <c r="AB225" i="1"/>
  <c r="AB226" i="1"/>
  <c r="AB227" i="1"/>
  <c r="AB228" i="1"/>
  <c r="AB229" i="1"/>
  <c r="AB230" i="1"/>
  <c r="AB231" i="1"/>
  <c r="AB232" i="1"/>
  <c r="AB233" i="1"/>
  <c r="AB234" i="1"/>
  <c r="AB235" i="1"/>
  <c r="AB236" i="1"/>
  <c r="AB237" i="1"/>
  <c r="AB238" i="1"/>
  <c r="AB239" i="1"/>
  <c r="AB240" i="1"/>
  <c r="AB241" i="1"/>
  <c r="AB242" i="1"/>
  <c r="AB243" i="1"/>
  <c r="AB244" i="1"/>
  <c r="AB2" i="1"/>
  <c r="U8" i="1" l="1"/>
  <c r="U7" i="1"/>
  <c r="L2" i="1"/>
  <c r="AA2" i="1" s="1"/>
  <c r="L4" i="1"/>
  <c r="AA4" i="1" s="1"/>
  <c r="L5" i="1"/>
  <c r="AA5" i="1" s="1"/>
  <c r="L6" i="1"/>
  <c r="AA6" i="1" s="1"/>
  <c r="L7" i="1"/>
  <c r="AA7" i="1" s="1"/>
  <c r="L8" i="1"/>
  <c r="AA8" i="1" s="1"/>
  <c r="L9" i="1"/>
  <c r="AA9" i="1" s="1"/>
  <c r="L10" i="1"/>
  <c r="AA10" i="1" s="1"/>
  <c r="L11" i="1"/>
  <c r="AA11" i="1" s="1"/>
  <c r="L12" i="1"/>
  <c r="AA12" i="1" s="1"/>
  <c r="L13" i="1"/>
  <c r="AA13" i="1" s="1"/>
  <c r="L14" i="1"/>
  <c r="AA14" i="1" s="1"/>
  <c r="L15" i="1"/>
  <c r="AA15" i="1" s="1"/>
  <c r="L16" i="1"/>
  <c r="AA16" i="1" s="1"/>
  <c r="L17" i="1"/>
  <c r="AA17" i="1" s="1"/>
  <c r="L18" i="1"/>
  <c r="AA18" i="1" s="1"/>
  <c r="L19" i="1"/>
  <c r="AA19" i="1" s="1"/>
  <c r="L20" i="1"/>
  <c r="AA20" i="1" s="1"/>
  <c r="L21" i="1"/>
  <c r="AA21" i="1" s="1"/>
  <c r="L22" i="1"/>
  <c r="AA22" i="1" s="1"/>
  <c r="L23" i="1"/>
  <c r="AA23" i="1" s="1"/>
  <c r="L24" i="1"/>
  <c r="AA24" i="1" s="1"/>
  <c r="L25" i="1"/>
  <c r="AA25" i="1" s="1"/>
  <c r="L26" i="1"/>
  <c r="AA26" i="1" s="1"/>
  <c r="L27" i="1"/>
  <c r="AA27" i="1" s="1"/>
  <c r="L28" i="1"/>
  <c r="AA28" i="1" s="1"/>
  <c r="L29" i="1"/>
  <c r="AA29" i="1" s="1"/>
  <c r="L30" i="1"/>
  <c r="AA30" i="1" s="1"/>
  <c r="L31" i="1"/>
  <c r="AA31" i="1" s="1"/>
  <c r="L32" i="1"/>
  <c r="AA32" i="1" s="1"/>
  <c r="L33" i="1"/>
  <c r="AA33" i="1" s="1"/>
  <c r="L34" i="1"/>
  <c r="AA34" i="1" s="1"/>
  <c r="L35" i="1"/>
  <c r="AA35" i="1" s="1"/>
  <c r="L36" i="1"/>
  <c r="AA36" i="1" s="1"/>
  <c r="L37" i="1"/>
  <c r="AA37" i="1" s="1"/>
  <c r="L38" i="1"/>
  <c r="AA38" i="1" s="1"/>
  <c r="L39" i="1"/>
  <c r="AA39" i="1" s="1"/>
  <c r="L40" i="1"/>
  <c r="AA40" i="1" s="1"/>
  <c r="L41" i="1"/>
  <c r="AA41" i="1" s="1"/>
  <c r="L42" i="1"/>
  <c r="AA42" i="1" s="1"/>
  <c r="L43" i="1"/>
  <c r="AA43" i="1" s="1"/>
  <c r="L44" i="1"/>
  <c r="AA44" i="1" s="1"/>
  <c r="L45" i="1"/>
  <c r="AA45" i="1" s="1"/>
  <c r="L46" i="1"/>
  <c r="AA46" i="1" s="1"/>
  <c r="L47" i="1"/>
  <c r="AA47" i="1" s="1"/>
  <c r="L48" i="1"/>
  <c r="AA48" i="1" s="1"/>
  <c r="L49" i="1"/>
  <c r="AA49" i="1" s="1"/>
  <c r="L50" i="1"/>
  <c r="AA50" i="1" s="1"/>
  <c r="L51" i="1"/>
  <c r="AA51" i="1" s="1"/>
  <c r="L52" i="1"/>
  <c r="AA52" i="1" s="1"/>
  <c r="L53" i="1"/>
  <c r="AA53" i="1" s="1"/>
  <c r="L54" i="1"/>
  <c r="AA54" i="1" s="1"/>
  <c r="L55" i="1"/>
  <c r="AA55" i="1" s="1"/>
  <c r="L56" i="1"/>
  <c r="AA56" i="1" s="1"/>
  <c r="L57" i="1"/>
  <c r="AA57" i="1" s="1"/>
  <c r="L58" i="1"/>
  <c r="AA58" i="1" s="1"/>
  <c r="L59" i="1"/>
  <c r="AA59" i="1" s="1"/>
  <c r="L60" i="1"/>
  <c r="AA60" i="1" s="1"/>
  <c r="L61" i="1"/>
  <c r="AA61" i="1" s="1"/>
  <c r="L62" i="1"/>
  <c r="AA62" i="1" s="1"/>
  <c r="L63" i="1"/>
  <c r="AA63" i="1" s="1"/>
  <c r="L64" i="1"/>
  <c r="AA64" i="1" s="1"/>
  <c r="L65" i="1"/>
  <c r="AA65" i="1" s="1"/>
  <c r="L66" i="1"/>
  <c r="AA66" i="1" s="1"/>
  <c r="L67" i="1"/>
  <c r="AA67" i="1" s="1"/>
  <c r="L68" i="1"/>
  <c r="AA68" i="1" s="1"/>
  <c r="L69" i="1"/>
  <c r="AA69" i="1" s="1"/>
  <c r="L70" i="1"/>
  <c r="AA70" i="1" s="1"/>
  <c r="L71" i="1"/>
  <c r="AA71" i="1" s="1"/>
  <c r="L72" i="1"/>
  <c r="AA72" i="1" s="1"/>
  <c r="L73" i="1"/>
  <c r="AA73" i="1" s="1"/>
  <c r="L74" i="1"/>
  <c r="AA74" i="1" s="1"/>
  <c r="L75" i="1"/>
  <c r="AA75" i="1" s="1"/>
  <c r="L76" i="1"/>
  <c r="AA76" i="1" s="1"/>
  <c r="L77" i="1"/>
  <c r="AA77" i="1" s="1"/>
  <c r="L78" i="1"/>
  <c r="AA78" i="1" s="1"/>
  <c r="L79" i="1"/>
  <c r="AA79" i="1" s="1"/>
  <c r="L80" i="1"/>
  <c r="AA80" i="1" s="1"/>
  <c r="L81" i="1"/>
  <c r="AA81" i="1" s="1"/>
  <c r="L82" i="1"/>
  <c r="AA82" i="1" s="1"/>
  <c r="L83" i="1"/>
  <c r="AA83" i="1" s="1"/>
  <c r="L84" i="1"/>
  <c r="AA84" i="1" s="1"/>
  <c r="L85" i="1"/>
  <c r="AA85" i="1" s="1"/>
  <c r="L86" i="1"/>
  <c r="AA86" i="1" s="1"/>
  <c r="L87" i="1"/>
  <c r="AA87" i="1" s="1"/>
  <c r="L88" i="1"/>
  <c r="AA88" i="1" s="1"/>
  <c r="L89" i="1"/>
  <c r="AA89" i="1" s="1"/>
  <c r="L90" i="1"/>
  <c r="AA90" i="1" s="1"/>
  <c r="L91" i="1"/>
  <c r="AA91" i="1" s="1"/>
  <c r="L92" i="1"/>
  <c r="AA92" i="1" s="1"/>
  <c r="L93" i="1"/>
  <c r="AA93" i="1" s="1"/>
  <c r="L94" i="1"/>
  <c r="AA94" i="1" s="1"/>
  <c r="L95" i="1"/>
  <c r="AA95" i="1" s="1"/>
  <c r="L96" i="1"/>
  <c r="AA96" i="1" s="1"/>
  <c r="L97" i="1"/>
  <c r="AA97" i="1" s="1"/>
  <c r="L98" i="1"/>
  <c r="AA98" i="1" s="1"/>
  <c r="L99" i="1"/>
  <c r="AA99" i="1" s="1"/>
  <c r="L100" i="1"/>
  <c r="AA100" i="1" s="1"/>
  <c r="L101" i="1"/>
  <c r="AA101" i="1" s="1"/>
  <c r="L102" i="1"/>
  <c r="AA102" i="1" s="1"/>
  <c r="L103" i="1"/>
  <c r="AA103" i="1" s="1"/>
  <c r="L104" i="1"/>
  <c r="AA104" i="1" s="1"/>
  <c r="L105" i="1"/>
  <c r="AA105" i="1" s="1"/>
  <c r="L106" i="1"/>
  <c r="AA106" i="1" s="1"/>
  <c r="L107" i="1"/>
  <c r="AA107" i="1" s="1"/>
  <c r="L108" i="1"/>
  <c r="AA108" i="1" s="1"/>
  <c r="L109" i="1"/>
  <c r="AA109" i="1" s="1"/>
  <c r="L110" i="1"/>
  <c r="AA110" i="1" s="1"/>
  <c r="L111" i="1"/>
  <c r="AA111" i="1" s="1"/>
  <c r="L112" i="1"/>
  <c r="AA112" i="1" s="1"/>
  <c r="L113" i="1"/>
  <c r="AA113" i="1" s="1"/>
  <c r="L114" i="1"/>
  <c r="AA114" i="1" s="1"/>
  <c r="L115" i="1"/>
  <c r="AA115" i="1" s="1"/>
  <c r="L116" i="1"/>
  <c r="AA116" i="1" s="1"/>
  <c r="L117" i="1"/>
  <c r="AA117" i="1" s="1"/>
  <c r="L118" i="1"/>
  <c r="AA118" i="1" s="1"/>
  <c r="L119" i="1"/>
  <c r="AA119" i="1" s="1"/>
  <c r="L120" i="1"/>
  <c r="AA120" i="1" s="1"/>
  <c r="L121" i="1"/>
  <c r="AA121" i="1" s="1"/>
  <c r="L122" i="1"/>
  <c r="AA122" i="1" s="1"/>
  <c r="L123" i="1"/>
  <c r="AA123" i="1" s="1"/>
  <c r="L124" i="1"/>
  <c r="AA124" i="1" s="1"/>
  <c r="L125" i="1"/>
  <c r="AA125" i="1" s="1"/>
  <c r="L126" i="1"/>
  <c r="AA126" i="1" s="1"/>
  <c r="L127" i="1"/>
  <c r="AA127" i="1" s="1"/>
  <c r="L128" i="1"/>
  <c r="AA128" i="1" s="1"/>
  <c r="L129" i="1"/>
  <c r="AA129" i="1" s="1"/>
  <c r="L130" i="1"/>
  <c r="AA130" i="1" s="1"/>
  <c r="L131" i="1"/>
  <c r="AA131" i="1" s="1"/>
  <c r="L132" i="1"/>
  <c r="AA132" i="1" s="1"/>
  <c r="L133" i="1"/>
  <c r="AA133" i="1" s="1"/>
  <c r="L134" i="1"/>
  <c r="AA134" i="1" s="1"/>
  <c r="L135" i="1"/>
  <c r="AA135" i="1" s="1"/>
  <c r="L136" i="1"/>
  <c r="AA136" i="1" s="1"/>
  <c r="L137" i="1"/>
  <c r="AA137" i="1" s="1"/>
  <c r="L138" i="1"/>
  <c r="AA138" i="1" s="1"/>
  <c r="L139" i="1"/>
  <c r="AA139" i="1" s="1"/>
  <c r="L140" i="1"/>
  <c r="AA140" i="1" s="1"/>
  <c r="L141" i="1"/>
  <c r="AA141" i="1" s="1"/>
  <c r="L142" i="1"/>
  <c r="AA142" i="1" s="1"/>
  <c r="L143" i="1"/>
  <c r="AA143" i="1" s="1"/>
  <c r="L144" i="1"/>
  <c r="AA144" i="1" s="1"/>
  <c r="L145" i="1"/>
  <c r="AA145" i="1" s="1"/>
  <c r="L146" i="1"/>
  <c r="AA146" i="1" s="1"/>
  <c r="L147" i="1"/>
  <c r="AA147" i="1" s="1"/>
  <c r="L148" i="1"/>
  <c r="AA148" i="1" s="1"/>
  <c r="L149" i="1"/>
  <c r="AA149" i="1" s="1"/>
  <c r="L150" i="1"/>
  <c r="AA150" i="1" s="1"/>
  <c r="L151" i="1"/>
  <c r="AA151" i="1" s="1"/>
  <c r="L152" i="1"/>
  <c r="AA152" i="1" s="1"/>
  <c r="L153" i="1"/>
  <c r="AA153" i="1" s="1"/>
  <c r="L154" i="1"/>
  <c r="AA154" i="1" s="1"/>
  <c r="L155" i="1"/>
  <c r="AA155" i="1" s="1"/>
  <c r="L156" i="1"/>
  <c r="AA156" i="1" s="1"/>
  <c r="L157" i="1"/>
  <c r="AA157" i="1" s="1"/>
  <c r="L158" i="1"/>
  <c r="AA158" i="1" s="1"/>
  <c r="L159" i="1"/>
  <c r="AA159" i="1" s="1"/>
  <c r="L160" i="1"/>
  <c r="AA160" i="1" s="1"/>
  <c r="L161" i="1"/>
  <c r="AA161" i="1" s="1"/>
  <c r="L162" i="1"/>
  <c r="AA162" i="1" s="1"/>
  <c r="L163" i="1"/>
  <c r="AA163" i="1" s="1"/>
  <c r="L164" i="1"/>
  <c r="AA164" i="1" s="1"/>
  <c r="L165" i="1"/>
  <c r="AA165" i="1" s="1"/>
  <c r="L166" i="1"/>
  <c r="AA166" i="1" s="1"/>
  <c r="L167" i="1"/>
  <c r="AA167" i="1" s="1"/>
  <c r="L168" i="1"/>
  <c r="AA168" i="1" s="1"/>
  <c r="L169" i="1"/>
  <c r="AA169" i="1" s="1"/>
  <c r="L170" i="1"/>
  <c r="AA170" i="1" s="1"/>
  <c r="L171" i="1"/>
  <c r="AA171" i="1" s="1"/>
  <c r="L172" i="1"/>
  <c r="AA172" i="1" s="1"/>
  <c r="L173" i="1"/>
  <c r="AA173" i="1" s="1"/>
  <c r="L174" i="1"/>
  <c r="AA174" i="1" s="1"/>
  <c r="L175" i="1"/>
  <c r="AA175" i="1" s="1"/>
  <c r="L176" i="1"/>
  <c r="AA176" i="1" s="1"/>
  <c r="L177" i="1"/>
  <c r="AA177" i="1" s="1"/>
  <c r="L178" i="1"/>
  <c r="AA178" i="1" s="1"/>
  <c r="L179" i="1"/>
  <c r="AA179" i="1" s="1"/>
  <c r="L180" i="1"/>
  <c r="AA180" i="1" s="1"/>
  <c r="L181" i="1"/>
  <c r="AA181" i="1" s="1"/>
  <c r="L182" i="1"/>
  <c r="AA182" i="1" s="1"/>
  <c r="L183" i="1"/>
  <c r="AA183" i="1" s="1"/>
  <c r="L184" i="1"/>
  <c r="AA184" i="1" s="1"/>
  <c r="L185" i="1"/>
  <c r="AA185" i="1" s="1"/>
  <c r="L186" i="1"/>
  <c r="AA186" i="1" s="1"/>
  <c r="L187" i="1"/>
  <c r="AA187" i="1" s="1"/>
  <c r="L188" i="1"/>
  <c r="AA188" i="1" s="1"/>
  <c r="L189" i="1"/>
  <c r="AA189" i="1" s="1"/>
  <c r="L190" i="1"/>
  <c r="AA190" i="1" s="1"/>
  <c r="L191" i="1"/>
  <c r="AA191" i="1" s="1"/>
  <c r="L192" i="1"/>
  <c r="AA192" i="1" s="1"/>
  <c r="L193" i="1"/>
  <c r="AA193" i="1" s="1"/>
  <c r="L194" i="1"/>
  <c r="AA194" i="1" s="1"/>
  <c r="L195" i="1"/>
  <c r="AA195" i="1" s="1"/>
  <c r="L196" i="1"/>
  <c r="AA196" i="1" s="1"/>
  <c r="L197" i="1"/>
  <c r="AA197" i="1" s="1"/>
  <c r="L198" i="1"/>
  <c r="AA198" i="1" s="1"/>
  <c r="L199" i="1"/>
  <c r="AA199" i="1" s="1"/>
  <c r="L200" i="1"/>
  <c r="AA200" i="1" s="1"/>
  <c r="L201" i="1"/>
  <c r="AA201" i="1" s="1"/>
  <c r="L202" i="1"/>
  <c r="AA202" i="1" s="1"/>
  <c r="L203" i="1"/>
  <c r="AA203" i="1" s="1"/>
  <c r="L204" i="1"/>
  <c r="AA204" i="1" s="1"/>
  <c r="L205" i="1"/>
  <c r="AA205" i="1" s="1"/>
  <c r="L206" i="1"/>
  <c r="AA206" i="1" s="1"/>
  <c r="L207" i="1"/>
  <c r="AA207" i="1" s="1"/>
  <c r="L208" i="1"/>
  <c r="AA208" i="1" s="1"/>
  <c r="L209" i="1"/>
  <c r="AA209" i="1" s="1"/>
  <c r="L210" i="1"/>
  <c r="AA210" i="1" s="1"/>
  <c r="L211" i="1"/>
  <c r="AA211" i="1" s="1"/>
  <c r="L212" i="1"/>
  <c r="AA212" i="1" s="1"/>
  <c r="L213" i="1"/>
  <c r="AA213" i="1" s="1"/>
  <c r="L214" i="1"/>
  <c r="AA214" i="1" s="1"/>
  <c r="L215" i="1"/>
  <c r="AA215" i="1" s="1"/>
  <c r="L216" i="1"/>
  <c r="AA216" i="1" s="1"/>
  <c r="L217" i="1"/>
  <c r="AA217" i="1" s="1"/>
  <c r="L218" i="1"/>
  <c r="AA218" i="1" s="1"/>
  <c r="L219" i="1"/>
  <c r="AA219" i="1" s="1"/>
  <c r="L220" i="1"/>
  <c r="AA220" i="1" s="1"/>
  <c r="L221" i="1"/>
  <c r="AA221" i="1" s="1"/>
  <c r="L222" i="1"/>
  <c r="AA222" i="1" s="1"/>
  <c r="L223" i="1"/>
  <c r="AA223" i="1" s="1"/>
  <c r="L224" i="1"/>
  <c r="AA224" i="1" s="1"/>
  <c r="L225" i="1"/>
  <c r="AA225" i="1" s="1"/>
  <c r="L226" i="1"/>
  <c r="AA226" i="1" s="1"/>
  <c r="L227" i="1"/>
  <c r="AA227" i="1" s="1"/>
  <c r="L228" i="1"/>
  <c r="AA228" i="1" s="1"/>
  <c r="L229" i="1"/>
  <c r="AA229" i="1" s="1"/>
  <c r="L230" i="1"/>
  <c r="AA230" i="1" s="1"/>
  <c r="L231" i="1"/>
  <c r="AA231" i="1" s="1"/>
  <c r="L232" i="1"/>
  <c r="AA232" i="1" s="1"/>
  <c r="L233" i="1"/>
  <c r="AA233" i="1" s="1"/>
  <c r="L234" i="1"/>
  <c r="AA234" i="1" s="1"/>
  <c r="L235" i="1"/>
  <c r="AA235" i="1" s="1"/>
  <c r="L236" i="1"/>
  <c r="AA236" i="1" s="1"/>
  <c r="L237" i="1"/>
  <c r="AA237" i="1" s="1"/>
  <c r="L238" i="1"/>
  <c r="AA238" i="1" s="1"/>
  <c r="L239" i="1"/>
  <c r="AA239" i="1" s="1"/>
  <c r="L240" i="1"/>
  <c r="AA240" i="1" s="1"/>
  <c r="L241" i="1"/>
  <c r="AA241" i="1" s="1"/>
  <c r="L242" i="1"/>
  <c r="AA242" i="1" s="1"/>
  <c r="L243" i="1"/>
  <c r="AA243" i="1" s="1"/>
  <c r="L244" i="1"/>
  <c r="AA244" i="1" s="1"/>
  <c r="L3" i="1"/>
  <c r="AA3" i="1" s="1"/>
  <c r="U6" i="1" l="1"/>
  <c r="K3" i="1"/>
  <c r="Y3" i="1" s="1"/>
  <c r="K4" i="1"/>
  <c r="Y4" i="1" s="1"/>
  <c r="K5" i="1"/>
  <c r="Y5" i="1" s="1"/>
  <c r="K6" i="1"/>
  <c r="Y6" i="1" s="1"/>
  <c r="K7" i="1"/>
  <c r="Y7" i="1" s="1"/>
  <c r="K8" i="1"/>
  <c r="Y8" i="1" s="1"/>
  <c r="K9" i="1"/>
  <c r="Y9" i="1" s="1"/>
  <c r="K10" i="1"/>
  <c r="Y10" i="1" s="1"/>
  <c r="K11" i="1"/>
  <c r="Y11" i="1" s="1"/>
  <c r="K12" i="1"/>
  <c r="Y12" i="1" s="1"/>
  <c r="K13" i="1"/>
  <c r="Y13" i="1" s="1"/>
  <c r="K14" i="1"/>
  <c r="Y14" i="1" s="1"/>
  <c r="K15" i="1"/>
  <c r="Y15" i="1" s="1"/>
  <c r="K16" i="1"/>
  <c r="Y16" i="1" s="1"/>
  <c r="K17" i="1"/>
  <c r="Y17" i="1" s="1"/>
  <c r="K18" i="1"/>
  <c r="Y18" i="1" s="1"/>
  <c r="K19" i="1"/>
  <c r="Y19" i="1" s="1"/>
  <c r="K20" i="1"/>
  <c r="Y20" i="1" s="1"/>
  <c r="K21" i="1"/>
  <c r="Y21" i="1" s="1"/>
  <c r="K22" i="1"/>
  <c r="Y22" i="1" s="1"/>
  <c r="K23" i="1"/>
  <c r="Y23" i="1" s="1"/>
  <c r="K24" i="1"/>
  <c r="Y24" i="1" s="1"/>
  <c r="K25" i="1"/>
  <c r="Y25" i="1" s="1"/>
  <c r="K26" i="1"/>
  <c r="Y26" i="1" s="1"/>
  <c r="K27" i="1"/>
  <c r="Y27" i="1" s="1"/>
  <c r="K28" i="1"/>
  <c r="Y28" i="1" s="1"/>
  <c r="K29" i="1"/>
  <c r="Y29" i="1" s="1"/>
  <c r="K30" i="1"/>
  <c r="Y30" i="1" s="1"/>
  <c r="K31" i="1"/>
  <c r="Y31" i="1" s="1"/>
  <c r="K32" i="1"/>
  <c r="Y32" i="1" s="1"/>
  <c r="K33" i="1"/>
  <c r="Y33" i="1" s="1"/>
  <c r="K34" i="1"/>
  <c r="Y34" i="1" s="1"/>
  <c r="K35" i="1"/>
  <c r="Y35" i="1" s="1"/>
  <c r="K36" i="1"/>
  <c r="Y36" i="1" s="1"/>
  <c r="K37" i="1"/>
  <c r="Y37" i="1" s="1"/>
  <c r="K38" i="1"/>
  <c r="Y38" i="1" s="1"/>
  <c r="K39" i="1"/>
  <c r="Y39" i="1" s="1"/>
  <c r="K40" i="1"/>
  <c r="Y40" i="1" s="1"/>
  <c r="K41" i="1"/>
  <c r="Y41" i="1" s="1"/>
  <c r="K42" i="1"/>
  <c r="Y42" i="1" s="1"/>
  <c r="K43" i="1"/>
  <c r="Y43" i="1" s="1"/>
  <c r="K44" i="1"/>
  <c r="Y44" i="1" s="1"/>
  <c r="K45" i="1"/>
  <c r="Y45" i="1" s="1"/>
  <c r="K46" i="1"/>
  <c r="Y46" i="1" s="1"/>
  <c r="K47" i="1"/>
  <c r="Y47" i="1" s="1"/>
  <c r="K48" i="1"/>
  <c r="Y48" i="1" s="1"/>
  <c r="K49" i="1"/>
  <c r="Y49" i="1" s="1"/>
  <c r="K50" i="1"/>
  <c r="Y50" i="1" s="1"/>
  <c r="K51" i="1"/>
  <c r="Y51" i="1" s="1"/>
  <c r="K52" i="1"/>
  <c r="Y52" i="1" s="1"/>
  <c r="K53" i="1"/>
  <c r="Y53" i="1" s="1"/>
  <c r="K54" i="1"/>
  <c r="Y54" i="1" s="1"/>
  <c r="K55" i="1"/>
  <c r="Y55" i="1" s="1"/>
  <c r="K56" i="1"/>
  <c r="Y56" i="1" s="1"/>
  <c r="K57" i="1"/>
  <c r="Y57" i="1" s="1"/>
  <c r="K58" i="1"/>
  <c r="Y58" i="1" s="1"/>
  <c r="K59" i="1"/>
  <c r="Y59" i="1" s="1"/>
  <c r="K60" i="1"/>
  <c r="Y60" i="1" s="1"/>
  <c r="K61" i="1"/>
  <c r="Y61" i="1" s="1"/>
  <c r="K62" i="1"/>
  <c r="Y62" i="1" s="1"/>
  <c r="K63" i="1"/>
  <c r="Y63" i="1" s="1"/>
  <c r="K64" i="1"/>
  <c r="Y64" i="1" s="1"/>
  <c r="K65" i="1"/>
  <c r="Y65" i="1" s="1"/>
  <c r="K66" i="1"/>
  <c r="Y66" i="1" s="1"/>
  <c r="K67" i="1"/>
  <c r="Y67" i="1" s="1"/>
  <c r="K68" i="1"/>
  <c r="Y68" i="1" s="1"/>
  <c r="K69" i="1"/>
  <c r="Y69" i="1" s="1"/>
  <c r="K70" i="1"/>
  <c r="Y70" i="1" s="1"/>
  <c r="K71" i="1"/>
  <c r="Y71" i="1" s="1"/>
  <c r="K72" i="1"/>
  <c r="Y72" i="1" s="1"/>
  <c r="K73" i="1"/>
  <c r="Y73" i="1" s="1"/>
  <c r="K74" i="1"/>
  <c r="Y74" i="1" s="1"/>
  <c r="K75" i="1"/>
  <c r="Y75" i="1" s="1"/>
  <c r="K76" i="1"/>
  <c r="Y76" i="1" s="1"/>
  <c r="K77" i="1"/>
  <c r="Y77" i="1" s="1"/>
  <c r="K78" i="1"/>
  <c r="Y78" i="1" s="1"/>
  <c r="K79" i="1"/>
  <c r="Y79" i="1" s="1"/>
  <c r="K80" i="1"/>
  <c r="Y80" i="1" s="1"/>
  <c r="K81" i="1"/>
  <c r="Y81" i="1" s="1"/>
  <c r="K82" i="1"/>
  <c r="Y82" i="1" s="1"/>
  <c r="K83" i="1"/>
  <c r="Y83" i="1" s="1"/>
  <c r="K84" i="1"/>
  <c r="Y84" i="1" s="1"/>
  <c r="K85" i="1"/>
  <c r="Y85" i="1" s="1"/>
  <c r="K86" i="1"/>
  <c r="Y86" i="1" s="1"/>
  <c r="K87" i="1"/>
  <c r="Y87" i="1" s="1"/>
  <c r="K88" i="1"/>
  <c r="Y88" i="1" s="1"/>
  <c r="K89" i="1"/>
  <c r="Y89" i="1" s="1"/>
  <c r="K90" i="1"/>
  <c r="Y90" i="1" s="1"/>
  <c r="K91" i="1"/>
  <c r="Y91" i="1" s="1"/>
  <c r="K92" i="1"/>
  <c r="Y92" i="1" s="1"/>
  <c r="K93" i="1"/>
  <c r="Y93" i="1" s="1"/>
  <c r="K94" i="1"/>
  <c r="Y94" i="1" s="1"/>
  <c r="K95" i="1"/>
  <c r="Y95" i="1" s="1"/>
  <c r="K96" i="1"/>
  <c r="Y96" i="1" s="1"/>
  <c r="K97" i="1"/>
  <c r="Y97" i="1" s="1"/>
  <c r="K98" i="1"/>
  <c r="Y98" i="1" s="1"/>
  <c r="K99" i="1"/>
  <c r="Y99" i="1" s="1"/>
  <c r="K100" i="1"/>
  <c r="Y100" i="1" s="1"/>
  <c r="K101" i="1"/>
  <c r="Y101" i="1" s="1"/>
  <c r="K102" i="1"/>
  <c r="Y102" i="1" s="1"/>
  <c r="K103" i="1"/>
  <c r="Y103" i="1" s="1"/>
  <c r="K104" i="1"/>
  <c r="Y104" i="1" s="1"/>
  <c r="K105" i="1"/>
  <c r="Y105" i="1" s="1"/>
  <c r="K106" i="1"/>
  <c r="Y106" i="1" s="1"/>
  <c r="K107" i="1"/>
  <c r="Y107" i="1" s="1"/>
  <c r="K108" i="1"/>
  <c r="Y108" i="1" s="1"/>
  <c r="K109" i="1"/>
  <c r="Y109" i="1" s="1"/>
  <c r="K110" i="1"/>
  <c r="Y110" i="1" s="1"/>
  <c r="K111" i="1"/>
  <c r="Y111" i="1" s="1"/>
  <c r="K112" i="1"/>
  <c r="Y112" i="1" s="1"/>
  <c r="K113" i="1"/>
  <c r="Y113" i="1" s="1"/>
  <c r="K114" i="1"/>
  <c r="Y114" i="1" s="1"/>
  <c r="K115" i="1"/>
  <c r="Y115" i="1" s="1"/>
  <c r="K116" i="1"/>
  <c r="Y116" i="1" s="1"/>
  <c r="K117" i="1"/>
  <c r="Y117" i="1" s="1"/>
  <c r="K118" i="1"/>
  <c r="Y118" i="1" s="1"/>
  <c r="K119" i="1"/>
  <c r="Y119" i="1" s="1"/>
  <c r="K120" i="1"/>
  <c r="Y120" i="1" s="1"/>
  <c r="K121" i="1"/>
  <c r="Y121" i="1" s="1"/>
  <c r="K122" i="1"/>
  <c r="Y122" i="1" s="1"/>
  <c r="K123" i="1"/>
  <c r="Y123" i="1" s="1"/>
  <c r="K124" i="1"/>
  <c r="Y124" i="1" s="1"/>
  <c r="K125" i="1"/>
  <c r="Y125" i="1" s="1"/>
  <c r="K126" i="1"/>
  <c r="Y126" i="1" s="1"/>
  <c r="K127" i="1"/>
  <c r="Y127" i="1" s="1"/>
  <c r="K128" i="1"/>
  <c r="Y128" i="1" s="1"/>
  <c r="K129" i="1"/>
  <c r="Y129" i="1" s="1"/>
  <c r="K130" i="1"/>
  <c r="Y130" i="1" s="1"/>
  <c r="K131" i="1"/>
  <c r="Y131" i="1" s="1"/>
  <c r="K132" i="1"/>
  <c r="Y132" i="1" s="1"/>
  <c r="K133" i="1"/>
  <c r="Y133" i="1" s="1"/>
  <c r="K134" i="1"/>
  <c r="Y134" i="1" s="1"/>
  <c r="K135" i="1"/>
  <c r="Y135" i="1" s="1"/>
  <c r="K136" i="1"/>
  <c r="Y136" i="1" s="1"/>
  <c r="K137" i="1"/>
  <c r="Y137" i="1" s="1"/>
  <c r="K138" i="1"/>
  <c r="Y138" i="1" s="1"/>
  <c r="K139" i="1"/>
  <c r="Y139" i="1" s="1"/>
  <c r="K140" i="1"/>
  <c r="Y140" i="1" s="1"/>
  <c r="K141" i="1"/>
  <c r="Y141" i="1" s="1"/>
  <c r="K142" i="1"/>
  <c r="Y142" i="1" s="1"/>
  <c r="K143" i="1"/>
  <c r="Y143" i="1" s="1"/>
  <c r="K144" i="1"/>
  <c r="Y144" i="1" s="1"/>
  <c r="K145" i="1"/>
  <c r="Y145" i="1" s="1"/>
  <c r="K146" i="1"/>
  <c r="Y146" i="1" s="1"/>
  <c r="K147" i="1"/>
  <c r="Y147" i="1" s="1"/>
  <c r="K148" i="1"/>
  <c r="Y148" i="1" s="1"/>
  <c r="K149" i="1"/>
  <c r="Y149" i="1" s="1"/>
  <c r="K150" i="1"/>
  <c r="Y150" i="1" s="1"/>
  <c r="K151" i="1"/>
  <c r="Y151" i="1" s="1"/>
  <c r="K152" i="1"/>
  <c r="Y152" i="1" s="1"/>
  <c r="K153" i="1"/>
  <c r="Y153" i="1" s="1"/>
  <c r="K154" i="1"/>
  <c r="Y154" i="1" s="1"/>
  <c r="K155" i="1"/>
  <c r="Y155" i="1" s="1"/>
  <c r="K156" i="1"/>
  <c r="Y156" i="1" s="1"/>
  <c r="K157" i="1"/>
  <c r="Y157" i="1" s="1"/>
  <c r="K158" i="1"/>
  <c r="Y158" i="1" s="1"/>
  <c r="K159" i="1"/>
  <c r="Y159" i="1" s="1"/>
  <c r="K160" i="1"/>
  <c r="Y160" i="1" s="1"/>
  <c r="K161" i="1"/>
  <c r="Y161" i="1" s="1"/>
  <c r="K162" i="1"/>
  <c r="Y162" i="1" s="1"/>
  <c r="K163" i="1"/>
  <c r="Y163" i="1" s="1"/>
  <c r="K164" i="1"/>
  <c r="Y164" i="1" s="1"/>
  <c r="K165" i="1"/>
  <c r="Y165" i="1" s="1"/>
  <c r="K166" i="1"/>
  <c r="Y166" i="1" s="1"/>
  <c r="K167" i="1"/>
  <c r="Y167" i="1" s="1"/>
  <c r="K168" i="1"/>
  <c r="Y168" i="1" s="1"/>
  <c r="K169" i="1"/>
  <c r="Y169" i="1" s="1"/>
  <c r="K170" i="1"/>
  <c r="Y170" i="1" s="1"/>
  <c r="K171" i="1"/>
  <c r="Y171" i="1" s="1"/>
  <c r="K172" i="1"/>
  <c r="Y172" i="1" s="1"/>
  <c r="K173" i="1"/>
  <c r="Y173" i="1" s="1"/>
  <c r="K174" i="1"/>
  <c r="Y174" i="1" s="1"/>
  <c r="K175" i="1"/>
  <c r="Y175" i="1" s="1"/>
  <c r="K176" i="1"/>
  <c r="Y176" i="1" s="1"/>
  <c r="K177" i="1"/>
  <c r="Y177" i="1" s="1"/>
  <c r="K178" i="1"/>
  <c r="Y178" i="1" s="1"/>
  <c r="K179" i="1"/>
  <c r="Y179" i="1" s="1"/>
  <c r="K180" i="1"/>
  <c r="Y180" i="1" s="1"/>
  <c r="K181" i="1"/>
  <c r="Y181" i="1" s="1"/>
  <c r="K182" i="1"/>
  <c r="Y182" i="1" s="1"/>
  <c r="K183" i="1"/>
  <c r="Y183" i="1" s="1"/>
  <c r="K184" i="1"/>
  <c r="Y184" i="1" s="1"/>
  <c r="K185" i="1"/>
  <c r="Y185" i="1" s="1"/>
  <c r="K186" i="1"/>
  <c r="Y186" i="1" s="1"/>
  <c r="K187" i="1"/>
  <c r="Y187" i="1" s="1"/>
  <c r="K188" i="1"/>
  <c r="Y188" i="1" s="1"/>
  <c r="K189" i="1"/>
  <c r="Y189" i="1" s="1"/>
  <c r="K190" i="1"/>
  <c r="Y190" i="1" s="1"/>
  <c r="K191" i="1"/>
  <c r="Y191" i="1" s="1"/>
  <c r="K192" i="1"/>
  <c r="Y192" i="1" s="1"/>
  <c r="K193" i="1"/>
  <c r="Y193" i="1" s="1"/>
  <c r="K194" i="1"/>
  <c r="Y194" i="1" s="1"/>
  <c r="K195" i="1"/>
  <c r="Y195" i="1" s="1"/>
  <c r="K196" i="1"/>
  <c r="Y196" i="1" s="1"/>
  <c r="K197" i="1"/>
  <c r="Y197" i="1" s="1"/>
  <c r="K198" i="1"/>
  <c r="Y198" i="1" s="1"/>
  <c r="K199" i="1"/>
  <c r="Y199" i="1" s="1"/>
  <c r="K200" i="1"/>
  <c r="Y200" i="1" s="1"/>
  <c r="K201" i="1"/>
  <c r="Y201" i="1" s="1"/>
  <c r="K202" i="1"/>
  <c r="Y202" i="1" s="1"/>
  <c r="K203" i="1"/>
  <c r="Y203" i="1" s="1"/>
  <c r="K204" i="1"/>
  <c r="Y204" i="1" s="1"/>
  <c r="K205" i="1"/>
  <c r="Y205" i="1" s="1"/>
  <c r="K206" i="1"/>
  <c r="Y206" i="1" s="1"/>
  <c r="K207" i="1"/>
  <c r="Y207" i="1" s="1"/>
  <c r="K208" i="1"/>
  <c r="Y208" i="1" s="1"/>
  <c r="K209" i="1"/>
  <c r="Y209" i="1" s="1"/>
  <c r="K210" i="1"/>
  <c r="Y210" i="1" s="1"/>
  <c r="K211" i="1"/>
  <c r="Y211" i="1" s="1"/>
  <c r="K212" i="1"/>
  <c r="Y212" i="1" s="1"/>
  <c r="K213" i="1"/>
  <c r="Y213" i="1" s="1"/>
  <c r="K214" i="1"/>
  <c r="Y214" i="1" s="1"/>
  <c r="K215" i="1"/>
  <c r="Y215" i="1" s="1"/>
  <c r="K216" i="1"/>
  <c r="Y216" i="1" s="1"/>
  <c r="K217" i="1"/>
  <c r="Y217" i="1" s="1"/>
  <c r="K218" i="1"/>
  <c r="Y218" i="1" s="1"/>
  <c r="K219" i="1"/>
  <c r="Y219" i="1" s="1"/>
  <c r="K220" i="1"/>
  <c r="Y220" i="1" s="1"/>
  <c r="K221" i="1"/>
  <c r="Y221" i="1" s="1"/>
  <c r="K222" i="1"/>
  <c r="Y222" i="1" s="1"/>
  <c r="K223" i="1"/>
  <c r="Y223" i="1" s="1"/>
  <c r="K224" i="1"/>
  <c r="Y224" i="1" s="1"/>
  <c r="K225" i="1"/>
  <c r="Y225" i="1" s="1"/>
  <c r="K226" i="1"/>
  <c r="Y226" i="1" s="1"/>
  <c r="K227" i="1"/>
  <c r="Y227" i="1" s="1"/>
  <c r="K228" i="1"/>
  <c r="Y228" i="1" s="1"/>
  <c r="K229" i="1"/>
  <c r="Y229" i="1" s="1"/>
  <c r="K230" i="1"/>
  <c r="Y230" i="1" s="1"/>
  <c r="K231" i="1"/>
  <c r="Y231" i="1" s="1"/>
  <c r="K232" i="1"/>
  <c r="Y232" i="1" s="1"/>
  <c r="K233" i="1"/>
  <c r="Y233" i="1" s="1"/>
  <c r="K234" i="1"/>
  <c r="Y234" i="1" s="1"/>
  <c r="K235" i="1"/>
  <c r="Y235" i="1" s="1"/>
  <c r="K236" i="1"/>
  <c r="Y236" i="1" s="1"/>
  <c r="K237" i="1"/>
  <c r="Y237" i="1" s="1"/>
  <c r="K238" i="1"/>
  <c r="Y238" i="1" s="1"/>
  <c r="K239" i="1"/>
  <c r="Y239" i="1" s="1"/>
  <c r="K240" i="1"/>
  <c r="Y240" i="1" s="1"/>
  <c r="K241" i="1"/>
  <c r="Y241" i="1" s="1"/>
  <c r="K242" i="1"/>
  <c r="Y242" i="1" s="1"/>
  <c r="K243" i="1"/>
  <c r="Y243" i="1" s="1"/>
  <c r="K244" i="1"/>
  <c r="Y244" i="1" s="1"/>
  <c r="K2" i="1"/>
  <c r="Y2" i="1" s="1"/>
  <c r="J3" i="1"/>
  <c r="Z3" i="1" s="1"/>
  <c r="J4" i="1"/>
  <c r="Z4" i="1" s="1"/>
  <c r="J5" i="1"/>
  <c r="Z5" i="1" s="1"/>
  <c r="J6" i="1"/>
  <c r="Z6" i="1" s="1"/>
  <c r="J7" i="1"/>
  <c r="Z7" i="1" s="1"/>
  <c r="J8" i="1"/>
  <c r="Z8" i="1" s="1"/>
  <c r="J9" i="1"/>
  <c r="Z9" i="1" s="1"/>
  <c r="J10" i="1"/>
  <c r="Z10" i="1" s="1"/>
  <c r="J11" i="1"/>
  <c r="Z11" i="1" s="1"/>
  <c r="J12" i="1"/>
  <c r="Z12" i="1" s="1"/>
  <c r="J13" i="1"/>
  <c r="Z13" i="1" s="1"/>
  <c r="J14" i="1"/>
  <c r="Z14" i="1" s="1"/>
  <c r="J15" i="1"/>
  <c r="Z15" i="1" s="1"/>
  <c r="J16" i="1"/>
  <c r="Z16" i="1" s="1"/>
  <c r="J17" i="1"/>
  <c r="Z17" i="1" s="1"/>
  <c r="J18" i="1"/>
  <c r="Z18" i="1" s="1"/>
  <c r="J19" i="1"/>
  <c r="Z19" i="1" s="1"/>
  <c r="J20" i="1"/>
  <c r="Z20" i="1" s="1"/>
  <c r="J21" i="1"/>
  <c r="Z21" i="1" s="1"/>
  <c r="J22" i="1"/>
  <c r="Z22" i="1" s="1"/>
  <c r="J23" i="1"/>
  <c r="Z23" i="1" s="1"/>
  <c r="J24" i="1"/>
  <c r="Z24" i="1" s="1"/>
  <c r="J25" i="1"/>
  <c r="Z25" i="1" s="1"/>
  <c r="J26" i="1"/>
  <c r="Z26" i="1" s="1"/>
  <c r="J27" i="1"/>
  <c r="Z27" i="1" s="1"/>
  <c r="J28" i="1"/>
  <c r="Z28" i="1" s="1"/>
  <c r="J29" i="1"/>
  <c r="Z29" i="1" s="1"/>
  <c r="J30" i="1"/>
  <c r="Z30" i="1" s="1"/>
  <c r="J31" i="1"/>
  <c r="Z31" i="1" s="1"/>
  <c r="J32" i="1"/>
  <c r="Z32" i="1" s="1"/>
  <c r="J33" i="1"/>
  <c r="Z33" i="1" s="1"/>
  <c r="J34" i="1"/>
  <c r="Z34" i="1" s="1"/>
  <c r="J35" i="1"/>
  <c r="Z35" i="1" s="1"/>
  <c r="J36" i="1"/>
  <c r="Z36" i="1" s="1"/>
  <c r="J37" i="1"/>
  <c r="Z37" i="1" s="1"/>
  <c r="J38" i="1"/>
  <c r="Z38" i="1" s="1"/>
  <c r="J39" i="1"/>
  <c r="Z39" i="1" s="1"/>
  <c r="J40" i="1"/>
  <c r="Z40" i="1" s="1"/>
  <c r="J41" i="1"/>
  <c r="Z41" i="1" s="1"/>
  <c r="J42" i="1"/>
  <c r="Z42" i="1" s="1"/>
  <c r="J43" i="1"/>
  <c r="Z43" i="1" s="1"/>
  <c r="J44" i="1"/>
  <c r="Z44" i="1" s="1"/>
  <c r="J45" i="1"/>
  <c r="Z45" i="1" s="1"/>
  <c r="J46" i="1"/>
  <c r="Z46" i="1" s="1"/>
  <c r="J47" i="1"/>
  <c r="Z47" i="1" s="1"/>
  <c r="J48" i="1"/>
  <c r="Z48" i="1" s="1"/>
  <c r="J49" i="1"/>
  <c r="Z49" i="1" s="1"/>
  <c r="J50" i="1"/>
  <c r="Z50" i="1" s="1"/>
  <c r="J51" i="1"/>
  <c r="Z51" i="1" s="1"/>
  <c r="J52" i="1"/>
  <c r="Z52" i="1" s="1"/>
  <c r="J53" i="1"/>
  <c r="Z53" i="1" s="1"/>
  <c r="J54" i="1"/>
  <c r="Z54" i="1" s="1"/>
  <c r="J55" i="1"/>
  <c r="Z55" i="1" s="1"/>
  <c r="J56" i="1"/>
  <c r="Z56" i="1" s="1"/>
  <c r="J57" i="1"/>
  <c r="Z57" i="1" s="1"/>
  <c r="J58" i="1"/>
  <c r="Z58" i="1" s="1"/>
  <c r="J59" i="1"/>
  <c r="Z59" i="1" s="1"/>
  <c r="J60" i="1"/>
  <c r="Z60" i="1" s="1"/>
  <c r="J61" i="1"/>
  <c r="Z61" i="1" s="1"/>
  <c r="J62" i="1"/>
  <c r="Z62" i="1" s="1"/>
  <c r="J63" i="1"/>
  <c r="Z63" i="1" s="1"/>
  <c r="J64" i="1"/>
  <c r="Z64" i="1" s="1"/>
  <c r="J65" i="1"/>
  <c r="Z65" i="1" s="1"/>
  <c r="J66" i="1"/>
  <c r="Z66" i="1" s="1"/>
  <c r="J67" i="1"/>
  <c r="Z67" i="1" s="1"/>
  <c r="J68" i="1"/>
  <c r="Z68" i="1" s="1"/>
  <c r="J69" i="1"/>
  <c r="Z69" i="1" s="1"/>
  <c r="J70" i="1"/>
  <c r="Z70" i="1" s="1"/>
  <c r="J71" i="1"/>
  <c r="Z71" i="1" s="1"/>
  <c r="J72" i="1"/>
  <c r="Z72" i="1" s="1"/>
  <c r="J73" i="1"/>
  <c r="Z73" i="1" s="1"/>
  <c r="J74" i="1"/>
  <c r="Z74" i="1" s="1"/>
  <c r="J75" i="1"/>
  <c r="Z75" i="1" s="1"/>
  <c r="J76" i="1"/>
  <c r="Z76" i="1" s="1"/>
  <c r="J77" i="1"/>
  <c r="Z77" i="1" s="1"/>
  <c r="J78" i="1"/>
  <c r="Z78" i="1" s="1"/>
  <c r="J79" i="1"/>
  <c r="Z79" i="1" s="1"/>
  <c r="J80" i="1"/>
  <c r="Z80" i="1" s="1"/>
  <c r="J81" i="1"/>
  <c r="Z81" i="1" s="1"/>
  <c r="J82" i="1"/>
  <c r="Z82" i="1" s="1"/>
  <c r="J83" i="1"/>
  <c r="Z83" i="1" s="1"/>
  <c r="J84" i="1"/>
  <c r="Z84" i="1" s="1"/>
  <c r="J85" i="1"/>
  <c r="Z85" i="1" s="1"/>
  <c r="J86" i="1"/>
  <c r="Z86" i="1" s="1"/>
  <c r="J87" i="1"/>
  <c r="Z87" i="1" s="1"/>
  <c r="J88" i="1"/>
  <c r="Z88" i="1" s="1"/>
  <c r="J89" i="1"/>
  <c r="Z89" i="1" s="1"/>
  <c r="J90" i="1"/>
  <c r="Z90" i="1" s="1"/>
  <c r="J91" i="1"/>
  <c r="Z91" i="1" s="1"/>
  <c r="J92" i="1"/>
  <c r="Z92" i="1" s="1"/>
  <c r="J93" i="1"/>
  <c r="Z93" i="1" s="1"/>
  <c r="J94" i="1"/>
  <c r="Z94" i="1" s="1"/>
  <c r="J95" i="1"/>
  <c r="Z95" i="1" s="1"/>
  <c r="J96" i="1"/>
  <c r="Z96" i="1" s="1"/>
  <c r="J97" i="1"/>
  <c r="Z97" i="1" s="1"/>
  <c r="J98" i="1"/>
  <c r="Z98" i="1" s="1"/>
  <c r="J99" i="1"/>
  <c r="Z99" i="1" s="1"/>
  <c r="J100" i="1"/>
  <c r="Z100" i="1" s="1"/>
  <c r="J101" i="1"/>
  <c r="Z101" i="1" s="1"/>
  <c r="J102" i="1"/>
  <c r="Z102" i="1" s="1"/>
  <c r="J103" i="1"/>
  <c r="Z103" i="1" s="1"/>
  <c r="J104" i="1"/>
  <c r="Z104" i="1" s="1"/>
  <c r="J105" i="1"/>
  <c r="Z105" i="1" s="1"/>
  <c r="J106" i="1"/>
  <c r="Z106" i="1" s="1"/>
  <c r="J107" i="1"/>
  <c r="Z107" i="1" s="1"/>
  <c r="J108" i="1"/>
  <c r="Z108" i="1" s="1"/>
  <c r="J109" i="1"/>
  <c r="Z109" i="1" s="1"/>
  <c r="J110" i="1"/>
  <c r="Z110" i="1" s="1"/>
  <c r="J111" i="1"/>
  <c r="Z111" i="1" s="1"/>
  <c r="J112" i="1"/>
  <c r="Z112" i="1" s="1"/>
  <c r="J113" i="1"/>
  <c r="Z113" i="1" s="1"/>
  <c r="J114" i="1"/>
  <c r="Z114" i="1" s="1"/>
  <c r="J115" i="1"/>
  <c r="Z115" i="1" s="1"/>
  <c r="J116" i="1"/>
  <c r="Z116" i="1" s="1"/>
  <c r="J117" i="1"/>
  <c r="Z117" i="1" s="1"/>
  <c r="J118" i="1"/>
  <c r="Z118" i="1" s="1"/>
  <c r="J119" i="1"/>
  <c r="Z119" i="1" s="1"/>
  <c r="J120" i="1"/>
  <c r="Z120" i="1" s="1"/>
  <c r="J121" i="1"/>
  <c r="Z121" i="1" s="1"/>
  <c r="J122" i="1"/>
  <c r="Z122" i="1" s="1"/>
  <c r="J123" i="1"/>
  <c r="Z123" i="1" s="1"/>
  <c r="J124" i="1"/>
  <c r="Z124" i="1" s="1"/>
  <c r="J125" i="1"/>
  <c r="Z125" i="1" s="1"/>
  <c r="J126" i="1"/>
  <c r="Z126" i="1" s="1"/>
  <c r="J127" i="1"/>
  <c r="Z127" i="1" s="1"/>
  <c r="J128" i="1"/>
  <c r="Z128" i="1" s="1"/>
  <c r="J129" i="1"/>
  <c r="Z129" i="1" s="1"/>
  <c r="J130" i="1"/>
  <c r="Z130" i="1" s="1"/>
  <c r="J131" i="1"/>
  <c r="Z131" i="1" s="1"/>
  <c r="J132" i="1"/>
  <c r="Z132" i="1" s="1"/>
  <c r="J133" i="1"/>
  <c r="Z133" i="1" s="1"/>
  <c r="J134" i="1"/>
  <c r="Z134" i="1" s="1"/>
  <c r="J135" i="1"/>
  <c r="Z135" i="1" s="1"/>
  <c r="J136" i="1"/>
  <c r="Z136" i="1" s="1"/>
  <c r="J137" i="1"/>
  <c r="Z137" i="1" s="1"/>
  <c r="J138" i="1"/>
  <c r="Z138" i="1" s="1"/>
  <c r="J139" i="1"/>
  <c r="Z139" i="1" s="1"/>
  <c r="J140" i="1"/>
  <c r="Z140" i="1" s="1"/>
  <c r="J141" i="1"/>
  <c r="Z141" i="1" s="1"/>
  <c r="J142" i="1"/>
  <c r="Z142" i="1" s="1"/>
  <c r="J143" i="1"/>
  <c r="Z143" i="1" s="1"/>
  <c r="J144" i="1"/>
  <c r="Z144" i="1" s="1"/>
  <c r="J145" i="1"/>
  <c r="Z145" i="1" s="1"/>
  <c r="J146" i="1"/>
  <c r="Z146" i="1" s="1"/>
  <c r="J147" i="1"/>
  <c r="Z147" i="1" s="1"/>
  <c r="J148" i="1"/>
  <c r="Z148" i="1" s="1"/>
  <c r="J149" i="1"/>
  <c r="Z149" i="1" s="1"/>
  <c r="J150" i="1"/>
  <c r="Z150" i="1" s="1"/>
  <c r="J151" i="1"/>
  <c r="Z151" i="1" s="1"/>
  <c r="J152" i="1"/>
  <c r="Z152" i="1" s="1"/>
  <c r="J153" i="1"/>
  <c r="Z153" i="1" s="1"/>
  <c r="J154" i="1"/>
  <c r="Z154" i="1" s="1"/>
  <c r="J155" i="1"/>
  <c r="Z155" i="1" s="1"/>
  <c r="J156" i="1"/>
  <c r="Z156" i="1" s="1"/>
  <c r="J157" i="1"/>
  <c r="Z157" i="1" s="1"/>
  <c r="J158" i="1"/>
  <c r="Z158" i="1" s="1"/>
  <c r="J159" i="1"/>
  <c r="Z159" i="1" s="1"/>
  <c r="J160" i="1"/>
  <c r="Z160" i="1" s="1"/>
  <c r="J161" i="1"/>
  <c r="Z161" i="1" s="1"/>
  <c r="J162" i="1"/>
  <c r="Z162" i="1" s="1"/>
  <c r="J163" i="1"/>
  <c r="Z163" i="1" s="1"/>
  <c r="J164" i="1"/>
  <c r="Z164" i="1" s="1"/>
  <c r="J165" i="1"/>
  <c r="Z165" i="1" s="1"/>
  <c r="J166" i="1"/>
  <c r="Z166" i="1" s="1"/>
  <c r="J167" i="1"/>
  <c r="Z167" i="1" s="1"/>
  <c r="J168" i="1"/>
  <c r="Z168" i="1" s="1"/>
  <c r="J169" i="1"/>
  <c r="Z169" i="1" s="1"/>
  <c r="J170" i="1"/>
  <c r="Z170" i="1" s="1"/>
  <c r="J171" i="1"/>
  <c r="Z171" i="1" s="1"/>
  <c r="J172" i="1"/>
  <c r="Z172" i="1" s="1"/>
  <c r="J173" i="1"/>
  <c r="Z173" i="1" s="1"/>
  <c r="J174" i="1"/>
  <c r="Z174" i="1" s="1"/>
  <c r="J175" i="1"/>
  <c r="Z175" i="1" s="1"/>
  <c r="J176" i="1"/>
  <c r="Z176" i="1" s="1"/>
  <c r="J177" i="1"/>
  <c r="Z177" i="1" s="1"/>
  <c r="J178" i="1"/>
  <c r="Z178" i="1" s="1"/>
  <c r="J179" i="1"/>
  <c r="Z179" i="1" s="1"/>
  <c r="J180" i="1"/>
  <c r="Z180" i="1" s="1"/>
  <c r="J181" i="1"/>
  <c r="Z181" i="1" s="1"/>
  <c r="J182" i="1"/>
  <c r="Z182" i="1" s="1"/>
  <c r="J183" i="1"/>
  <c r="Z183" i="1" s="1"/>
  <c r="J184" i="1"/>
  <c r="Z184" i="1" s="1"/>
  <c r="J185" i="1"/>
  <c r="Z185" i="1" s="1"/>
  <c r="J186" i="1"/>
  <c r="Z186" i="1" s="1"/>
  <c r="J187" i="1"/>
  <c r="Z187" i="1" s="1"/>
  <c r="J188" i="1"/>
  <c r="Z188" i="1" s="1"/>
  <c r="J189" i="1"/>
  <c r="Z189" i="1" s="1"/>
  <c r="J190" i="1"/>
  <c r="Z190" i="1" s="1"/>
  <c r="J191" i="1"/>
  <c r="Z191" i="1" s="1"/>
  <c r="J192" i="1"/>
  <c r="Z192" i="1" s="1"/>
  <c r="J193" i="1"/>
  <c r="Z193" i="1" s="1"/>
  <c r="J194" i="1"/>
  <c r="Z194" i="1" s="1"/>
  <c r="J195" i="1"/>
  <c r="Z195" i="1" s="1"/>
  <c r="J196" i="1"/>
  <c r="Z196" i="1" s="1"/>
  <c r="J197" i="1"/>
  <c r="Z197" i="1" s="1"/>
  <c r="J198" i="1"/>
  <c r="Z198" i="1" s="1"/>
  <c r="J199" i="1"/>
  <c r="Z199" i="1" s="1"/>
  <c r="J200" i="1"/>
  <c r="Z200" i="1" s="1"/>
  <c r="J201" i="1"/>
  <c r="Z201" i="1" s="1"/>
  <c r="J202" i="1"/>
  <c r="Z202" i="1" s="1"/>
  <c r="J203" i="1"/>
  <c r="Z203" i="1" s="1"/>
  <c r="J204" i="1"/>
  <c r="Z204" i="1" s="1"/>
  <c r="J205" i="1"/>
  <c r="Z205" i="1" s="1"/>
  <c r="J206" i="1"/>
  <c r="Z206" i="1" s="1"/>
  <c r="J207" i="1"/>
  <c r="Z207" i="1" s="1"/>
  <c r="J208" i="1"/>
  <c r="Z208" i="1" s="1"/>
  <c r="J209" i="1"/>
  <c r="Z209" i="1" s="1"/>
  <c r="J210" i="1"/>
  <c r="Z210" i="1" s="1"/>
  <c r="J211" i="1"/>
  <c r="Z211" i="1" s="1"/>
  <c r="J212" i="1"/>
  <c r="Z212" i="1" s="1"/>
  <c r="J213" i="1"/>
  <c r="Z213" i="1" s="1"/>
  <c r="J214" i="1"/>
  <c r="Z214" i="1" s="1"/>
  <c r="J215" i="1"/>
  <c r="Z215" i="1" s="1"/>
  <c r="J216" i="1"/>
  <c r="Z216" i="1" s="1"/>
  <c r="J217" i="1"/>
  <c r="Z217" i="1" s="1"/>
  <c r="J218" i="1"/>
  <c r="Z218" i="1" s="1"/>
  <c r="J219" i="1"/>
  <c r="Z219" i="1" s="1"/>
  <c r="J220" i="1"/>
  <c r="Z220" i="1" s="1"/>
  <c r="J221" i="1"/>
  <c r="Z221" i="1" s="1"/>
  <c r="J222" i="1"/>
  <c r="Z222" i="1" s="1"/>
  <c r="J223" i="1"/>
  <c r="Z223" i="1" s="1"/>
  <c r="J224" i="1"/>
  <c r="Z224" i="1" s="1"/>
  <c r="J225" i="1"/>
  <c r="Z225" i="1" s="1"/>
  <c r="J226" i="1"/>
  <c r="Z226" i="1" s="1"/>
  <c r="J227" i="1"/>
  <c r="Z227" i="1" s="1"/>
  <c r="J228" i="1"/>
  <c r="Z228" i="1" s="1"/>
  <c r="J229" i="1"/>
  <c r="Z229" i="1" s="1"/>
  <c r="J230" i="1"/>
  <c r="Z230" i="1" s="1"/>
  <c r="J231" i="1"/>
  <c r="Z231" i="1" s="1"/>
  <c r="J232" i="1"/>
  <c r="Z232" i="1" s="1"/>
  <c r="J233" i="1"/>
  <c r="Z233" i="1" s="1"/>
  <c r="J234" i="1"/>
  <c r="Z234" i="1" s="1"/>
  <c r="J235" i="1"/>
  <c r="Z235" i="1" s="1"/>
  <c r="J236" i="1"/>
  <c r="Z236" i="1" s="1"/>
  <c r="J237" i="1"/>
  <c r="Z237" i="1" s="1"/>
  <c r="J238" i="1"/>
  <c r="Z238" i="1" s="1"/>
  <c r="J239" i="1"/>
  <c r="Z239" i="1" s="1"/>
  <c r="J240" i="1"/>
  <c r="Z240" i="1" s="1"/>
  <c r="J241" i="1"/>
  <c r="Z241" i="1" s="1"/>
  <c r="J242" i="1"/>
  <c r="Z242" i="1" s="1"/>
  <c r="J243" i="1"/>
  <c r="Z243" i="1" s="1"/>
  <c r="J244" i="1"/>
  <c r="Z244" i="1" s="1"/>
  <c r="J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" i="1"/>
  <c r="X211" i="1" l="1"/>
  <c r="AD211" i="1" s="1"/>
  <c r="P211" i="1"/>
  <c r="Q211" i="1" s="1"/>
  <c r="X175" i="1"/>
  <c r="AD175" i="1" s="1"/>
  <c r="P175" i="1"/>
  <c r="Q175" i="1" s="1"/>
  <c r="X139" i="1"/>
  <c r="AD139" i="1" s="1"/>
  <c r="P139" i="1"/>
  <c r="Q139" i="1" s="1"/>
  <c r="X103" i="1"/>
  <c r="AD103" i="1" s="1"/>
  <c r="P103" i="1"/>
  <c r="Q103" i="1" s="1"/>
  <c r="X67" i="1"/>
  <c r="AD67" i="1" s="1"/>
  <c r="P67" i="1"/>
  <c r="Q67" i="1" s="1"/>
  <c r="X31" i="1"/>
  <c r="AD31" i="1" s="1"/>
  <c r="P31" i="1"/>
  <c r="Q31" i="1" s="1"/>
  <c r="X7" i="1"/>
  <c r="AD7" i="1" s="1"/>
  <c r="P7" i="1"/>
  <c r="Q7" i="1" s="1"/>
  <c r="X210" i="1"/>
  <c r="AD210" i="1" s="1"/>
  <c r="P210" i="1"/>
  <c r="Q210" i="1" s="1"/>
  <c r="X174" i="1"/>
  <c r="AD174" i="1" s="1"/>
  <c r="P174" i="1"/>
  <c r="Q174" i="1" s="1"/>
  <c r="X138" i="1"/>
  <c r="AD138" i="1" s="1"/>
  <c r="P138" i="1"/>
  <c r="Q138" i="1" s="1"/>
  <c r="X102" i="1"/>
  <c r="AD102" i="1" s="1"/>
  <c r="P102" i="1"/>
  <c r="Q102" i="1" s="1"/>
  <c r="X66" i="1"/>
  <c r="AD66" i="1" s="1"/>
  <c r="P66" i="1"/>
  <c r="Q66" i="1" s="1"/>
  <c r="X30" i="1"/>
  <c r="AD30" i="1" s="1"/>
  <c r="P30" i="1"/>
  <c r="Q30" i="1" s="1"/>
  <c r="X6" i="1"/>
  <c r="AD6" i="1" s="1"/>
  <c r="P6" i="1"/>
  <c r="Q6" i="1" s="1"/>
  <c r="X233" i="1"/>
  <c r="AD233" i="1" s="1"/>
  <c r="P233" i="1"/>
  <c r="Q233" i="1" s="1"/>
  <c r="X197" i="1"/>
  <c r="AD197" i="1" s="1"/>
  <c r="P197" i="1"/>
  <c r="Q197" i="1" s="1"/>
  <c r="X161" i="1"/>
  <c r="AD161" i="1" s="1"/>
  <c r="P161" i="1"/>
  <c r="Q161" i="1" s="1"/>
  <c r="X125" i="1"/>
  <c r="AD125" i="1" s="1"/>
  <c r="P125" i="1"/>
  <c r="Q125" i="1" s="1"/>
  <c r="X89" i="1"/>
  <c r="AD89" i="1" s="1"/>
  <c r="P89" i="1"/>
  <c r="Q89" i="1" s="1"/>
  <c r="X53" i="1"/>
  <c r="AD53" i="1" s="1"/>
  <c r="P53" i="1"/>
  <c r="Q53" i="1" s="1"/>
  <c r="X220" i="1"/>
  <c r="AD220" i="1" s="1"/>
  <c r="P220" i="1"/>
  <c r="Q220" i="1" s="1"/>
  <c r="X184" i="1"/>
  <c r="AD184" i="1" s="1"/>
  <c r="P184" i="1"/>
  <c r="Q184" i="1" s="1"/>
  <c r="X148" i="1"/>
  <c r="AD148" i="1" s="1"/>
  <c r="P148" i="1"/>
  <c r="Q148" i="1" s="1"/>
  <c r="X112" i="1"/>
  <c r="AD112" i="1" s="1"/>
  <c r="P112" i="1"/>
  <c r="Q112" i="1" s="1"/>
  <c r="X76" i="1"/>
  <c r="AD76" i="1" s="1"/>
  <c r="P76" i="1"/>
  <c r="Q76" i="1" s="1"/>
  <c r="X40" i="1"/>
  <c r="AD40" i="1" s="1"/>
  <c r="P40" i="1"/>
  <c r="Q40" i="1" s="1"/>
  <c r="X243" i="1"/>
  <c r="AD243" i="1" s="1"/>
  <c r="P243" i="1"/>
  <c r="Q243" i="1" s="1"/>
  <c r="X207" i="1"/>
  <c r="AD207" i="1" s="1"/>
  <c r="P207" i="1"/>
  <c r="Q207" i="1" s="1"/>
  <c r="X171" i="1"/>
  <c r="AD171" i="1" s="1"/>
  <c r="P171" i="1"/>
  <c r="Q171" i="1" s="1"/>
  <c r="X135" i="1"/>
  <c r="AD135" i="1" s="1"/>
  <c r="P135" i="1"/>
  <c r="Q135" i="1" s="1"/>
  <c r="X99" i="1"/>
  <c r="AD99" i="1" s="1"/>
  <c r="P99" i="1"/>
  <c r="Q99" i="1" s="1"/>
  <c r="X63" i="1"/>
  <c r="AD63" i="1" s="1"/>
  <c r="P63" i="1"/>
  <c r="Q63" i="1" s="1"/>
  <c r="X27" i="1"/>
  <c r="AD27" i="1" s="1"/>
  <c r="P27" i="1"/>
  <c r="Q27" i="1" s="1"/>
  <c r="P242" i="1"/>
  <c r="Q242" i="1" s="1"/>
  <c r="X242" i="1"/>
  <c r="AD242" i="1" s="1"/>
  <c r="P206" i="1"/>
  <c r="Q206" i="1" s="1"/>
  <c r="X206" i="1"/>
  <c r="AD206" i="1" s="1"/>
  <c r="P170" i="1"/>
  <c r="Q170" i="1" s="1"/>
  <c r="X170" i="1"/>
  <c r="AD170" i="1" s="1"/>
  <c r="P146" i="1"/>
  <c r="Q146" i="1" s="1"/>
  <c r="X146" i="1"/>
  <c r="AD146" i="1" s="1"/>
  <c r="P110" i="1"/>
  <c r="Q110" i="1" s="1"/>
  <c r="X110" i="1"/>
  <c r="AD110" i="1" s="1"/>
  <c r="P74" i="1"/>
  <c r="Q74" i="1" s="1"/>
  <c r="X74" i="1"/>
  <c r="AD74" i="1" s="1"/>
  <c r="P26" i="1"/>
  <c r="Q26" i="1" s="1"/>
  <c r="X26" i="1"/>
  <c r="AD26" i="1" s="1"/>
  <c r="X229" i="1"/>
  <c r="AD229" i="1" s="1"/>
  <c r="P229" i="1"/>
  <c r="Q229" i="1" s="1"/>
  <c r="P169" i="1"/>
  <c r="Q169" i="1" s="1"/>
  <c r="X169" i="1"/>
  <c r="AD169" i="1" s="1"/>
  <c r="X192" i="1"/>
  <c r="AD192" i="1" s="1"/>
  <c r="P192" i="1"/>
  <c r="Q192" i="1" s="1"/>
  <c r="U5" i="1"/>
  <c r="X238" i="1"/>
  <c r="AD238" i="1" s="1"/>
  <c r="P238" i="1"/>
  <c r="Q238" i="1" s="1"/>
  <c r="X226" i="1"/>
  <c r="AD226" i="1" s="1"/>
  <c r="P226" i="1"/>
  <c r="Q226" i="1" s="1"/>
  <c r="P214" i="1"/>
  <c r="Q214" i="1" s="1"/>
  <c r="X214" i="1"/>
  <c r="AD214" i="1" s="1"/>
  <c r="X202" i="1"/>
  <c r="AD202" i="1" s="1"/>
  <c r="P202" i="1"/>
  <c r="Q202" i="1" s="1"/>
  <c r="X190" i="1"/>
  <c r="AD190" i="1" s="1"/>
  <c r="P190" i="1"/>
  <c r="Q190" i="1" s="1"/>
  <c r="X178" i="1"/>
  <c r="AD178" i="1" s="1"/>
  <c r="P178" i="1"/>
  <c r="Q178" i="1" s="1"/>
  <c r="X166" i="1"/>
  <c r="AD166" i="1" s="1"/>
  <c r="P166" i="1"/>
  <c r="Q166" i="1" s="1"/>
  <c r="X154" i="1"/>
  <c r="AD154" i="1" s="1"/>
  <c r="P154" i="1"/>
  <c r="Q154" i="1" s="1"/>
  <c r="X142" i="1"/>
  <c r="AD142" i="1" s="1"/>
  <c r="P142" i="1"/>
  <c r="Q142" i="1" s="1"/>
  <c r="X130" i="1"/>
  <c r="AD130" i="1" s="1"/>
  <c r="P130" i="1"/>
  <c r="Q130" i="1" s="1"/>
  <c r="X118" i="1"/>
  <c r="AD118" i="1" s="1"/>
  <c r="P118" i="1"/>
  <c r="Q118" i="1" s="1"/>
  <c r="X106" i="1"/>
  <c r="AD106" i="1" s="1"/>
  <c r="P106" i="1"/>
  <c r="Q106" i="1" s="1"/>
  <c r="X94" i="1"/>
  <c r="AD94" i="1" s="1"/>
  <c r="P94" i="1"/>
  <c r="Q94" i="1" s="1"/>
  <c r="X82" i="1"/>
  <c r="AD82" i="1" s="1"/>
  <c r="P82" i="1"/>
  <c r="Q82" i="1" s="1"/>
  <c r="X70" i="1"/>
  <c r="AD70" i="1" s="1"/>
  <c r="P70" i="1"/>
  <c r="Q70" i="1" s="1"/>
  <c r="X58" i="1"/>
  <c r="AD58" i="1" s="1"/>
  <c r="P58" i="1"/>
  <c r="Q58" i="1" s="1"/>
  <c r="X46" i="1"/>
  <c r="AD46" i="1" s="1"/>
  <c r="P46" i="1"/>
  <c r="Q46" i="1" s="1"/>
  <c r="X34" i="1"/>
  <c r="AD34" i="1" s="1"/>
  <c r="P34" i="1"/>
  <c r="Q34" i="1" s="1"/>
  <c r="X22" i="1"/>
  <c r="AD22" i="1" s="1"/>
  <c r="P22" i="1"/>
  <c r="Q22" i="1" s="1"/>
  <c r="X10" i="1"/>
  <c r="AD10" i="1" s="1"/>
  <c r="P10" i="1"/>
  <c r="Q10" i="1" s="1"/>
  <c r="P235" i="1"/>
  <c r="Q235" i="1" s="1"/>
  <c r="X235" i="1"/>
  <c r="AD235" i="1" s="1"/>
  <c r="X199" i="1"/>
  <c r="AD199" i="1" s="1"/>
  <c r="P199" i="1"/>
  <c r="Q199" i="1" s="1"/>
  <c r="X163" i="1"/>
  <c r="AD163" i="1" s="1"/>
  <c r="P163" i="1"/>
  <c r="Q163" i="1" s="1"/>
  <c r="X127" i="1"/>
  <c r="AD127" i="1" s="1"/>
  <c r="P127" i="1"/>
  <c r="Q127" i="1" s="1"/>
  <c r="X91" i="1"/>
  <c r="AD91" i="1" s="1"/>
  <c r="P91" i="1"/>
  <c r="Q91" i="1" s="1"/>
  <c r="X43" i="1"/>
  <c r="AD43" i="1" s="1"/>
  <c r="P43" i="1"/>
  <c r="Q43" i="1" s="1"/>
  <c r="X222" i="1"/>
  <c r="AD222" i="1" s="1"/>
  <c r="P222" i="1"/>
  <c r="Q222" i="1" s="1"/>
  <c r="X186" i="1"/>
  <c r="AD186" i="1" s="1"/>
  <c r="P186" i="1"/>
  <c r="Q186" i="1" s="1"/>
  <c r="X150" i="1"/>
  <c r="AD150" i="1" s="1"/>
  <c r="P150" i="1"/>
  <c r="Q150" i="1" s="1"/>
  <c r="X114" i="1"/>
  <c r="AD114" i="1" s="1"/>
  <c r="P114" i="1"/>
  <c r="Q114" i="1" s="1"/>
  <c r="X78" i="1"/>
  <c r="AD78" i="1" s="1"/>
  <c r="P78" i="1"/>
  <c r="Q78" i="1" s="1"/>
  <c r="X42" i="1"/>
  <c r="AD42" i="1" s="1"/>
  <c r="P42" i="1"/>
  <c r="Q42" i="1" s="1"/>
  <c r="P2" i="1"/>
  <c r="Q2" i="1" s="1"/>
  <c r="X2" i="1"/>
  <c r="U3" i="1"/>
  <c r="X209" i="1"/>
  <c r="AD209" i="1" s="1"/>
  <c r="P209" i="1"/>
  <c r="Q209" i="1" s="1"/>
  <c r="X173" i="1"/>
  <c r="AD173" i="1" s="1"/>
  <c r="P173" i="1"/>
  <c r="Q173" i="1" s="1"/>
  <c r="X137" i="1"/>
  <c r="AD137" i="1" s="1"/>
  <c r="P137" i="1"/>
  <c r="Q137" i="1" s="1"/>
  <c r="X101" i="1"/>
  <c r="AD101" i="1" s="1"/>
  <c r="P101" i="1"/>
  <c r="Q101" i="1" s="1"/>
  <c r="X65" i="1"/>
  <c r="AD65" i="1" s="1"/>
  <c r="P65" i="1"/>
  <c r="Q65" i="1" s="1"/>
  <c r="X29" i="1"/>
  <c r="AD29" i="1" s="1"/>
  <c r="P29" i="1"/>
  <c r="Q29" i="1" s="1"/>
  <c r="X5" i="1"/>
  <c r="AD5" i="1" s="1"/>
  <c r="P5" i="1"/>
  <c r="Q5" i="1" s="1"/>
  <c r="X232" i="1"/>
  <c r="AD232" i="1" s="1"/>
  <c r="P232" i="1"/>
  <c r="Q232" i="1" s="1"/>
  <c r="X196" i="1"/>
  <c r="AD196" i="1" s="1"/>
  <c r="P196" i="1"/>
  <c r="Q196" i="1" s="1"/>
  <c r="X160" i="1"/>
  <c r="AD160" i="1" s="1"/>
  <c r="P160" i="1"/>
  <c r="Q160" i="1" s="1"/>
  <c r="X124" i="1"/>
  <c r="AD124" i="1" s="1"/>
  <c r="P124" i="1"/>
  <c r="Q124" i="1" s="1"/>
  <c r="X88" i="1"/>
  <c r="AD88" i="1" s="1"/>
  <c r="P88" i="1"/>
  <c r="Q88" i="1" s="1"/>
  <c r="X52" i="1"/>
  <c r="AD52" i="1" s="1"/>
  <c r="P52" i="1"/>
  <c r="Q52" i="1" s="1"/>
  <c r="X28" i="1"/>
  <c r="AD28" i="1" s="1"/>
  <c r="P28" i="1"/>
  <c r="Q28" i="1" s="1"/>
  <c r="X4" i="1"/>
  <c r="AD4" i="1" s="1"/>
  <c r="P4" i="1"/>
  <c r="Q4" i="1" s="1"/>
  <c r="X231" i="1"/>
  <c r="AD231" i="1" s="1"/>
  <c r="P231" i="1"/>
  <c r="Q231" i="1" s="1"/>
  <c r="X195" i="1"/>
  <c r="AD195" i="1" s="1"/>
  <c r="P195" i="1"/>
  <c r="Q195" i="1" s="1"/>
  <c r="X159" i="1"/>
  <c r="AD159" i="1" s="1"/>
  <c r="P159" i="1"/>
  <c r="Q159" i="1" s="1"/>
  <c r="X123" i="1"/>
  <c r="AD123" i="1" s="1"/>
  <c r="P123" i="1"/>
  <c r="Q123" i="1" s="1"/>
  <c r="X87" i="1"/>
  <c r="AD87" i="1" s="1"/>
  <c r="P87" i="1"/>
  <c r="Q87" i="1" s="1"/>
  <c r="X39" i="1"/>
  <c r="AD39" i="1" s="1"/>
  <c r="P39" i="1"/>
  <c r="Q39" i="1" s="1"/>
  <c r="X3" i="1"/>
  <c r="AD3" i="1" s="1"/>
  <c r="P3" i="1"/>
  <c r="Q3" i="1" s="1"/>
  <c r="P230" i="1"/>
  <c r="Q230" i="1" s="1"/>
  <c r="X230" i="1"/>
  <c r="AD230" i="1" s="1"/>
  <c r="P194" i="1"/>
  <c r="Q194" i="1" s="1"/>
  <c r="X194" i="1"/>
  <c r="AD194" i="1" s="1"/>
  <c r="P158" i="1"/>
  <c r="Q158" i="1" s="1"/>
  <c r="X158" i="1"/>
  <c r="AD158" i="1" s="1"/>
  <c r="P122" i="1"/>
  <c r="Q122" i="1" s="1"/>
  <c r="X122" i="1"/>
  <c r="AD122" i="1" s="1"/>
  <c r="P86" i="1"/>
  <c r="Q86" i="1" s="1"/>
  <c r="X86" i="1"/>
  <c r="AD86" i="1" s="1"/>
  <c r="P50" i="1"/>
  <c r="Q50" i="1" s="1"/>
  <c r="X50" i="1"/>
  <c r="AD50" i="1" s="1"/>
  <c r="P14" i="1"/>
  <c r="Q14" i="1" s="1"/>
  <c r="X14" i="1"/>
  <c r="AD14" i="1" s="1"/>
  <c r="Z2" i="1"/>
  <c r="U4" i="1"/>
  <c r="P241" i="1"/>
  <c r="Q241" i="1" s="1"/>
  <c r="X241" i="1"/>
  <c r="AD241" i="1" s="1"/>
  <c r="X205" i="1"/>
  <c r="AD205" i="1" s="1"/>
  <c r="P205" i="1"/>
  <c r="Q205" i="1" s="1"/>
  <c r="X181" i="1"/>
  <c r="AD181" i="1" s="1"/>
  <c r="P181" i="1"/>
  <c r="Q181" i="1" s="1"/>
  <c r="P145" i="1"/>
  <c r="Q145" i="1" s="1"/>
  <c r="X145" i="1"/>
  <c r="AD145" i="1" s="1"/>
  <c r="P121" i="1"/>
  <c r="Q121" i="1" s="1"/>
  <c r="X121" i="1"/>
  <c r="AD121" i="1" s="1"/>
  <c r="P97" i="1"/>
  <c r="Q97" i="1" s="1"/>
  <c r="X97" i="1"/>
  <c r="AD97" i="1" s="1"/>
  <c r="P73" i="1"/>
  <c r="Q73" i="1" s="1"/>
  <c r="X73" i="1"/>
  <c r="AD73" i="1" s="1"/>
  <c r="P49" i="1"/>
  <c r="Q49" i="1" s="1"/>
  <c r="X49" i="1"/>
  <c r="AD49" i="1" s="1"/>
  <c r="P25" i="1"/>
  <c r="Q25" i="1" s="1"/>
  <c r="X25" i="1"/>
  <c r="AD25" i="1" s="1"/>
  <c r="X13" i="1"/>
  <c r="AD13" i="1" s="1"/>
  <c r="P13" i="1"/>
  <c r="Q13" i="1" s="1"/>
  <c r="P228" i="1"/>
  <c r="Q228" i="1" s="1"/>
  <c r="X228" i="1"/>
  <c r="AD228" i="1" s="1"/>
  <c r="P204" i="1"/>
  <c r="Q204" i="1" s="1"/>
  <c r="X204" i="1"/>
  <c r="AD204" i="1" s="1"/>
  <c r="X168" i="1"/>
  <c r="AD168" i="1" s="1"/>
  <c r="P168" i="1"/>
  <c r="Q168" i="1" s="1"/>
  <c r="P144" i="1"/>
  <c r="Q144" i="1" s="1"/>
  <c r="X144" i="1"/>
  <c r="AD144" i="1" s="1"/>
  <c r="P120" i="1"/>
  <c r="Q120" i="1" s="1"/>
  <c r="X120" i="1"/>
  <c r="AD120" i="1" s="1"/>
  <c r="X96" i="1"/>
  <c r="AD96" i="1" s="1"/>
  <c r="P96" i="1"/>
  <c r="Q96" i="1" s="1"/>
  <c r="X72" i="1"/>
  <c r="AD72" i="1" s="1"/>
  <c r="P72" i="1"/>
  <c r="Q72" i="1" s="1"/>
  <c r="X48" i="1"/>
  <c r="AD48" i="1" s="1"/>
  <c r="P48" i="1"/>
  <c r="Q48" i="1" s="1"/>
  <c r="X24" i="1"/>
  <c r="AD24" i="1" s="1"/>
  <c r="P24" i="1"/>
  <c r="Q24" i="1" s="1"/>
  <c r="X239" i="1"/>
  <c r="AD239" i="1" s="1"/>
  <c r="P239" i="1"/>
  <c r="Q239" i="1" s="1"/>
  <c r="X227" i="1"/>
  <c r="AD227" i="1" s="1"/>
  <c r="P227" i="1"/>
  <c r="Q227" i="1" s="1"/>
  <c r="X215" i="1"/>
  <c r="AD215" i="1" s="1"/>
  <c r="P215" i="1"/>
  <c r="Q215" i="1" s="1"/>
  <c r="P203" i="1"/>
  <c r="Q203" i="1" s="1"/>
  <c r="X203" i="1"/>
  <c r="AD203" i="1" s="1"/>
  <c r="X191" i="1"/>
  <c r="AD191" i="1" s="1"/>
  <c r="P191" i="1"/>
  <c r="Q191" i="1" s="1"/>
  <c r="X179" i="1"/>
  <c r="AD179" i="1" s="1"/>
  <c r="P179" i="1"/>
  <c r="Q179" i="1" s="1"/>
  <c r="P167" i="1"/>
  <c r="Q167" i="1" s="1"/>
  <c r="X167" i="1"/>
  <c r="AD167" i="1" s="1"/>
  <c r="X155" i="1"/>
  <c r="AD155" i="1" s="1"/>
  <c r="P155" i="1"/>
  <c r="Q155" i="1" s="1"/>
  <c r="X143" i="1"/>
  <c r="AD143" i="1" s="1"/>
  <c r="P143" i="1"/>
  <c r="Q143" i="1" s="1"/>
  <c r="P131" i="1"/>
  <c r="Q131" i="1" s="1"/>
  <c r="X131" i="1"/>
  <c r="AD131" i="1" s="1"/>
  <c r="X119" i="1"/>
  <c r="AD119" i="1" s="1"/>
  <c r="P119" i="1"/>
  <c r="Q119" i="1" s="1"/>
  <c r="X107" i="1"/>
  <c r="AD107" i="1" s="1"/>
  <c r="P107" i="1"/>
  <c r="Q107" i="1" s="1"/>
  <c r="P95" i="1"/>
  <c r="Q95" i="1" s="1"/>
  <c r="X95" i="1"/>
  <c r="AD95" i="1" s="1"/>
  <c r="X83" i="1"/>
  <c r="AD83" i="1" s="1"/>
  <c r="P83" i="1"/>
  <c r="Q83" i="1" s="1"/>
  <c r="X71" i="1"/>
  <c r="AD71" i="1" s="1"/>
  <c r="P71" i="1"/>
  <c r="Q71" i="1" s="1"/>
  <c r="P59" i="1"/>
  <c r="Q59" i="1" s="1"/>
  <c r="X59" i="1"/>
  <c r="AD59" i="1" s="1"/>
  <c r="X47" i="1"/>
  <c r="AD47" i="1" s="1"/>
  <c r="P47" i="1"/>
  <c r="Q47" i="1" s="1"/>
  <c r="X35" i="1"/>
  <c r="AD35" i="1" s="1"/>
  <c r="P35" i="1"/>
  <c r="Q35" i="1" s="1"/>
  <c r="P23" i="1"/>
  <c r="Q23" i="1" s="1"/>
  <c r="X23" i="1"/>
  <c r="AD23" i="1" s="1"/>
  <c r="X11" i="1"/>
  <c r="AD11" i="1" s="1"/>
  <c r="P11" i="1"/>
  <c r="Q11" i="1" s="1"/>
  <c r="X237" i="1"/>
  <c r="AD237" i="1" s="1"/>
  <c r="P237" i="1"/>
  <c r="Q237" i="1" s="1"/>
  <c r="X225" i="1"/>
  <c r="AD225" i="1" s="1"/>
  <c r="P225" i="1"/>
  <c r="Q225" i="1" s="1"/>
  <c r="X213" i="1"/>
  <c r="AD213" i="1" s="1"/>
  <c r="P213" i="1"/>
  <c r="Q213" i="1" s="1"/>
  <c r="X201" i="1"/>
  <c r="AD201" i="1" s="1"/>
  <c r="P201" i="1"/>
  <c r="Q201" i="1" s="1"/>
  <c r="X189" i="1"/>
  <c r="AD189" i="1" s="1"/>
  <c r="P189" i="1"/>
  <c r="Q189" i="1" s="1"/>
  <c r="X177" i="1"/>
  <c r="AD177" i="1" s="1"/>
  <c r="P177" i="1"/>
  <c r="Q177" i="1" s="1"/>
  <c r="X165" i="1"/>
  <c r="AD165" i="1" s="1"/>
  <c r="P165" i="1"/>
  <c r="Q165" i="1" s="1"/>
  <c r="X153" i="1"/>
  <c r="AD153" i="1" s="1"/>
  <c r="P153" i="1"/>
  <c r="Q153" i="1" s="1"/>
  <c r="X141" i="1"/>
  <c r="AD141" i="1" s="1"/>
  <c r="P141" i="1"/>
  <c r="Q141" i="1" s="1"/>
  <c r="X129" i="1"/>
  <c r="AD129" i="1" s="1"/>
  <c r="P129" i="1"/>
  <c r="Q129" i="1" s="1"/>
  <c r="X117" i="1"/>
  <c r="AD117" i="1" s="1"/>
  <c r="P117" i="1"/>
  <c r="Q117" i="1" s="1"/>
  <c r="X105" i="1"/>
  <c r="AD105" i="1" s="1"/>
  <c r="P105" i="1"/>
  <c r="Q105" i="1" s="1"/>
  <c r="X93" i="1"/>
  <c r="AD93" i="1" s="1"/>
  <c r="P93" i="1"/>
  <c r="Q93" i="1" s="1"/>
  <c r="X81" i="1"/>
  <c r="AD81" i="1" s="1"/>
  <c r="P81" i="1"/>
  <c r="Q81" i="1" s="1"/>
  <c r="X69" i="1"/>
  <c r="AD69" i="1" s="1"/>
  <c r="P69" i="1"/>
  <c r="Q69" i="1" s="1"/>
  <c r="X57" i="1"/>
  <c r="AD57" i="1" s="1"/>
  <c r="P57" i="1"/>
  <c r="Q57" i="1" s="1"/>
  <c r="X45" i="1"/>
  <c r="AD45" i="1" s="1"/>
  <c r="P45" i="1"/>
  <c r="Q45" i="1" s="1"/>
  <c r="X33" i="1"/>
  <c r="AD33" i="1" s="1"/>
  <c r="P33" i="1"/>
  <c r="Q33" i="1" s="1"/>
  <c r="X21" i="1"/>
  <c r="AD21" i="1" s="1"/>
  <c r="P21" i="1"/>
  <c r="Q21" i="1" s="1"/>
  <c r="X9" i="1"/>
  <c r="AD9" i="1" s="1"/>
  <c r="P9" i="1"/>
  <c r="Q9" i="1" s="1"/>
  <c r="X223" i="1"/>
  <c r="AD223" i="1" s="1"/>
  <c r="P223" i="1"/>
  <c r="Q223" i="1" s="1"/>
  <c r="X187" i="1"/>
  <c r="AD187" i="1" s="1"/>
  <c r="P187" i="1"/>
  <c r="Q187" i="1" s="1"/>
  <c r="X151" i="1"/>
  <c r="AD151" i="1" s="1"/>
  <c r="P151" i="1"/>
  <c r="Q151" i="1" s="1"/>
  <c r="X115" i="1"/>
  <c r="AD115" i="1" s="1"/>
  <c r="P115" i="1"/>
  <c r="Q115" i="1" s="1"/>
  <c r="X79" i="1"/>
  <c r="AD79" i="1" s="1"/>
  <c r="P79" i="1"/>
  <c r="Q79" i="1" s="1"/>
  <c r="X55" i="1"/>
  <c r="AD55" i="1" s="1"/>
  <c r="P55" i="1"/>
  <c r="Q55" i="1" s="1"/>
  <c r="X19" i="1"/>
  <c r="AD19" i="1" s="1"/>
  <c r="P19" i="1"/>
  <c r="Q19" i="1" s="1"/>
  <c r="P234" i="1"/>
  <c r="Q234" i="1" s="1"/>
  <c r="X234" i="1"/>
  <c r="AD234" i="1" s="1"/>
  <c r="X198" i="1"/>
  <c r="AD198" i="1" s="1"/>
  <c r="P198" i="1"/>
  <c r="Q198" i="1" s="1"/>
  <c r="X162" i="1"/>
  <c r="AD162" i="1" s="1"/>
  <c r="P162" i="1"/>
  <c r="Q162" i="1" s="1"/>
  <c r="X126" i="1"/>
  <c r="AD126" i="1" s="1"/>
  <c r="P126" i="1"/>
  <c r="Q126" i="1" s="1"/>
  <c r="X90" i="1"/>
  <c r="AD90" i="1" s="1"/>
  <c r="P90" i="1"/>
  <c r="Q90" i="1" s="1"/>
  <c r="X54" i="1"/>
  <c r="AD54" i="1" s="1"/>
  <c r="P54" i="1"/>
  <c r="Q54" i="1" s="1"/>
  <c r="X18" i="1"/>
  <c r="AD18" i="1" s="1"/>
  <c r="P18" i="1"/>
  <c r="Q18" i="1" s="1"/>
  <c r="X221" i="1"/>
  <c r="AD221" i="1" s="1"/>
  <c r="P221" i="1"/>
  <c r="Q221" i="1" s="1"/>
  <c r="X185" i="1"/>
  <c r="AD185" i="1" s="1"/>
  <c r="P185" i="1"/>
  <c r="Q185" i="1" s="1"/>
  <c r="X149" i="1"/>
  <c r="AD149" i="1" s="1"/>
  <c r="P149" i="1"/>
  <c r="Q149" i="1" s="1"/>
  <c r="X113" i="1"/>
  <c r="AD113" i="1" s="1"/>
  <c r="P113" i="1"/>
  <c r="Q113" i="1" s="1"/>
  <c r="X77" i="1"/>
  <c r="AD77" i="1" s="1"/>
  <c r="P77" i="1"/>
  <c r="Q77" i="1" s="1"/>
  <c r="X41" i="1"/>
  <c r="AD41" i="1" s="1"/>
  <c r="P41" i="1"/>
  <c r="Q41" i="1" s="1"/>
  <c r="X17" i="1"/>
  <c r="AD17" i="1" s="1"/>
  <c r="P17" i="1"/>
  <c r="Q17" i="1" s="1"/>
  <c r="X244" i="1"/>
  <c r="AD244" i="1" s="1"/>
  <c r="P244" i="1"/>
  <c r="Q244" i="1" s="1"/>
  <c r="X208" i="1"/>
  <c r="AD208" i="1" s="1"/>
  <c r="P208" i="1"/>
  <c r="Q208" i="1" s="1"/>
  <c r="X172" i="1"/>
  <c r="AD172" i="1" s="1"/>
  <c r="P172" i="1"/>
  <c r="Q172" i="1" s="1"/>
  <c r="X136" i="1"/>
  <c r="AD136" i="1" s="1"/>
  <c r="P136" i="1"/>
  <c r="Q136" i="1" s="1"/>
  <c r="X100" i="1"/>
  <c r="AD100" i="1" s="1"/>
  <c r="P100" i="1"/>
  <c r="Q100" i="1" s="1"/>
  <c r="X64" i="1"/>
  <c r="AD64" i="1" s="1"/>
  <c r="P64" i="1"/>
  <c r="Q64" i="1" s="1"/>
  <c r="X16" i="1"/>
  <c r="AD16" i="1" s="1"/>
  <c r="P16" i="1"/>
  <c r="Q16" i="1" s="1"/>
  <c r="X219" i="1"/>
  <c r="AD219" i="1" s="1"/>
  <c r="P219" i="1"/>
  <c r="Q219" i="1" s="1"/>
  <c r="X183" i="1"/>
  <c r="AD183" i="1" s="1"/>
  <c r="P183" i="1"/>
  <c r="Q183" i="1" s="1"/>
  <c r="X147" i="1"/>
  <c r="AD147" i="1" s="1"/>
  <c r="P147" i="1"/>
  <c r="Q147" i="1" s="1"/>
  <c r="X111" i="1"/>
  <c r="AD111" i="1" s="1"/>
  <c r="P111" i="1"/>
  <c r="Q111" i="1" s="1"/>
  <c r="X75" i="1"/>
  <c r="AD75" i="1" s="1"/>
  <c r="P75" i="1"/>
  <c r="Q75" i="1" s="1"/>
  <c r="X51" i="1"/>
  <c r="AD51" i="1" s="1"/>
  <c r="P51" i="1"/>
  <c r="Q51" i="1" s="1"/>
  <c r="X15" i="1"/>
  <c r="AD15" i="1" s="1"/>
  <c r="P15" i="1"/>
  <c r="Q15" i="1" s="1"/>
  <c r="P218" i="1"/>
  <c r="Q218" i="1" s="1"/>
  <c r="X218" i="1"/>
  <c r="AD218" i="1" s="1"/>
  <c r="P182" i="1"/>
  <c r="Q182" i="1" s="1"/>
  <c r="X182" i="1"/>
  <c r="AD182" i="1" s="1"/>
  <c r="P134" i="1"/>
  <c r="Q134" i="1" s="1"/>
  <c r="X134" i="1"/>
  <c r="AD134" i="1" s="1"/>
  <c r="P98" i="1"/>
  <c r="Q98" i="1" s="1"/>
  <c r="X98" i="1"/>
  <c r="AD98" i="1" s="1"/>
  <c r="P62" i="1"/>
  <c r="Q62" i="1" s="1"/>
  <c r="X62" i="1"/>
  <c r="AD62" i="1" s="1"/>
  <c r="P38" i="1"/>
  <c r="Q38" i="1" s="1"/>
  <c r="X38" i="1"/>
  <c r="AD38" i="1" s="1"/>
  <c r="P217" i="1"/>
  <c r="Q217" i="1" s="1"/>
  <c r="X217" i="1"/>
  <c r="AD217" i="1" s="1"/>
  <c r="P193" i="1"/>
  <c r="Q193" i="1" s="1"/>
  <c r="X193" i="1"/>
  <c r="AD193" i="1" s="1"/>
  <c r="X157" i="1"/>
  <c r="AD157" i="1" s="1"/>
  <c r="P157" i="1"/>
  <c r="Q157" i="1" s="1"/>
  <c r="X133" i="1"/>
  <c r="AD133" i="1" s="1"/>
  <c r="P133" i="1"/>
  <c r="Q133" i="1" s="1"/>
  <c r="X109" i="1"/>
  <c r="AD109" i="1" s="1"/>
  <c r="P109" i="1"/>
  <c r="Q109" i="1" s="1"/>
  <c r="X85" i="1"/>
  <c r="AD85" i="1" s="1"/>
  <c r="P85" i="1"/>
  <c r="Q85" i="1" s="1"/>
  <c r="X61" i="1"/>
  <c r="AD61" i="1" s="1"/>
  <c r="P61" i="1"/>
  <c r="Q61" i="1" s="1"/>
  <c r="X37" i="1"/>
  <c r="AD37" i="1" s="1"/>
  <c r="P37" i="1"/>
  <c r="Q37" i="1" s="1"/>
  <c r="P240" i="1"/>
  <c r="Q240" i="1" s="1"/>
  <c r="X240" i="1"/>
  <c r="AD240" i="1" s="1"/>
  <c r="X216" i="1"/>
  <c r="AD216" i="1" s="1"/>
  <c r="P216" i="1"/>
  <c r="Q216" i="1" s="1"/>
  <c r="P180" i="1"/>
  <c r="Q180" i="1" s="1"/>
  <c r="X180" i="1"/>
  <c r="AD180" i="1" s="1"/>
  <c r="X156" i="1"/>
  <c r="AD156" i="1" s="1"/>
  <c r="P156" i="1"/>
  <c r="Q156" i="1" s="1"/>
  <c r="X132" i="1"/>
  <c r="AD132" i="1" s="1"/>
  <c r="P132" i="1"/>
  <c r="Q132" i="1" s="1"/>
  <c r="X108" i="1"/>
  <c r="AD108" i="1" s="1"/>
  <c r="P108" i="1"/>
  <c r="Q108" i="1" s="1"/>
  <c r="P84" i="1"/>
  <c r="Q84" i="1" s="1"/>
  <c r="X84" i="1"/>
  <c r="AD84" i="1" s="1"/>
  <c r="P60" i="1"/>
  <c r="Q60" i="1" s="1"/>
  <c r="X60" i="1"/>
  <c r="AD60" i="1" s="1"/>
  <c r="X36" i="1"/>
  <c r="AD36" i="1" s="1"/>
  <c r="P36" i="1"/>
  <c r="Q36" i="1" s="1"/>
  <c r="P12" i="1"/>
  <c r="Q12" i="1" s="1"/>
  <c r="X12" i="1"/>
  <c r="AD12" i="1" s="1"/>
  <c r="X236" i="1"/>
  <c r="AD236" i="1" s="1"/>
  <c r="P236" i="1"/>
  <c r="Q236" i="1" s="1"/>
  <c r="X224" i="1"/>
  <c r="AD224" i="1" s="1"/>
  <c r="P224" i="1"/>
  <c r="Q224" i="1" s="1"/>
  <c r="X212" i="1"/>
  <c r="AD212" i="1" s="1"/>
  <c r="P212" i="1"/>
  <c r="Q212" i="1" s="1"/>
  <c r="X200" i="1"/>
  <c r="AD200" i="1" s="1"/>
  <c r="P200" i="1"/>
  <c r="Q200" i="1" s="1"/>
  <c r="X188" i="1"/>
  <c r="AD188" i="1" s="1"/>
  <c r="P188" i="1"/>
  <c r="Q188" i="1" s="1"/>
  <c r="X176" i="1"/>
  <c r="AD176" i="1" s="1"/>
  <c r="P176" i="1"/>
  <c r="Q176" i="1" s="1"/>
  <c r="X164" i="1"/>
  <c r="AD164" i="1" s="1"/>
  <c r="P164" i="1"/>
  <c r="Q164" i="1" s="1"/>
  <c r="X152" i="1"/>
  <c r="AD152" i="1" s="1"/>
  <c r="P152" i="1"/>
  <c r="Q152" i="1" s="1"/>
  <c r="X140" i="1"/>
  <c r="AD140" i="1" s="1"/>
  <c r="P140" i="1"/>
  <c r="Q140" i="1" s="1"/>
  <c r="X128" i="1"/>
  <c r="AD128" i="1" s="1"/>
  <c r="P128" i="1"/>
  <c r="Q128" i="1" s="1"/>
  <c r="X116" i="1"/>
  <c r="AD116" i="1" s="1"/>
  <c r="P116" i="1"/>
  <c r="Q116" i="1" s="1"/>
  <c r="X104" i="1"/>
  <c r="AD104" i="1" s="1"/>
  <c r="P104" i="1"/>
  <c r="Q104" i="1" s="1"/>
  <c r="X92" i="1"/>
  <c r="AD92" i="1" s="1"/>
  <c r="P92" i="1"/>
  <c r="Q92" i="1" s="1"/>
  <c r="X80" i="1"/>
  <c r="AD80" i="1" s="1"/>
  <c r="P80" i="1"/>
  <c r="Q80" i="1" s="1"/>
  <c r="X68" i="1"/>
  <c r="AD68" i="1" s="1"/>
  <c r="P68" i="1"/>
  <c r="Q68" i="1" s="1"/>
  <c r="X56" i="1"/>
  <c r="AD56" i="1" s="1"/>
  <c r="P56" i="1"/>
  <c r="Q56" i="1" s="1"/>
  <c r="X44" i="1"/>
  <c r="AD44" i="1" s="1"/>
  <c r="P44" i="1"/>
  <c r="Q44" i="1" s="1"/>
  <c r="X32" i="1"/>
  <c r="AD32" i="1" s="1"/>
  <c r="P32" i="1"/>
  <c r="Q32" i="1" s="1"/>
  <c r="X20" i="1"/>
  <c r="AD20" i="1" s="1"/>
  <c r="P20" i="1"/>
  <c r="Q20" i="1" s="1"/>
  <c r="X8" i="1"/>
  <c r="AD8" i="1" s="1"/>
  <c r="P8" i="1"/>
  <c r="Q8" i="1" s="1"/>
  <c r="AD2" i="1" l="1"/>
</calcChain>
</file>

<file path=xl/sharedStrings.xml><?xml version="1.0" encoding="utf-8"?>
<sst xmlns="http://schemas.openxmlformats.org/spreadsheetml/2006/main" count="1052" uniqueCount="54">
  <si>
    <t>sex</t>
  </si>
  <si>
    <t>smoker</t>
  </si>
  <si>
    <t>day</t>
  </si>
  <si>
    <t>time</t>
  </si>
  <si>
    <t>size</t>
  </si>
  <si>
    <t>total_bill</t>
  </si>
  <si>
    <t>tip</t>
  </si>
  <si>
    <t>Female</t>
  </si>
  <si>
    <t>No</t>
  </si>
  <si>
    <t>Sun</t>
  </si>
  <si>
    <t>Dinner</t>
  </si>
  <si>
    <t>Male</t>
  </si>
  <si>
    <t>Sat</t>
  </si>
  <si>
    <t>Yes</t>
  </si>
  <si>
    <t>Thur</t>
  </si>
  <si>
    <t>Lunch</t>
  </si>
  <si>
    <t>Fri</t>
  </si>
  <si>
    <t>sex_num</t>
  </si>
  <si>
    <t>smoker_num</t>
  </si>
  <si>
    <t>day_num</t>
  </si>
  <si>
    <t>time_num</t>
  </si>
  <si>
    <t>Row Labels</t>
  </si>
  <si>
    <t>Grand Total</t>
  </si>
  <si>
    <t>Sum of tip</t>
  </si>
  <si>
    <t>Column Labels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</si>
  <si>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</si>
  <si>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</si>
  <si>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</si>
  <si>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</si>
  <si>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</si>
  <si>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</si>
  <si>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</si>
  <si>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</si>
  <si>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</si>
  <si>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</si>
  <si>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</si>
  <si>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</si>
  <si>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</si>
  <si>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</si>
  <si>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</si>
  <si>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</si>
  <si>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</si>
  <si>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</si>
  <si>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</si>
  <si>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</si>
  <si>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</si>
  <si>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</si>
  <si>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</si>
  <si>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</si>
  <si>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Correlation value</t>
  </si>
  <si>
    <t>Predicted tip</t>
  </si>
  <si>
    <t>Average of total_bill</t>
  </si>
  <si>
    <t>Average of tip</t>
  </si>
  <si>
    <t>Squared 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</si>
</sst>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 &quot;₹&quot;\ * #,##0.00_ ;_ &quot;₹&quot;\ * \-#,##0.00_ ;_ &quot;₹&quot;\ * &quot;-&quot;??_ ;_ @_ "/>
    <numFmt numFmtId="164" formatCode="_-[$$-409]* #,##0.00_ ;_-[$$-409]* \-#,##0.00\ ;_-[$$-409]* &quot;-&quot;??_ ;_-@_ "/>
    <numFmt numFmtId="165" formatCode="_-[$$-409]* #,##0_ ;_-[$$-409]* \-#,##0\ ;_-[$$-409]* &quot;-&quot;??_ ;_-@_ 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rgb="FF595959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0" tint="-4.9989318521683403E-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5" fillId="0" borderId="0" applyFont="0" applyFill="0" applyBorder="0" applyAlignment="0" applyProtection="0"/>
  </cellStyleXfs>
  <cellXfs count="17">
    <xf numFmtId="0" fontId="0" fillId="0" borderId="0" xfId="0"/>
    <xf numFmtId="0" fontId="0" fillId="0" borderId="1" xfId="0" applyBorder="1"/>
    <xf numFmtId="0" fontId="1" fillId="2" borderId="1" xfId="0" applyFont="1" applyFill="1" applyBorder="1"/>
    <xf numFmtId="0" fontId="0" fillId="0" borderId="2" xfId="0" applyBorder="1"/>
    <xf numFmtId="0" fontId="2" fillId="0" borderId="3" xfId="0" applyFont="1" applyBorder="1" applyAlignment="1">
      <alignment horizontal="center"/>
    </xf>
    <xf numFmtId="0" fontId="2" fillId="0" borderId="3" xfId="0" applyFont="1" applyBorder="1" applyAlignment="1">
      <alignment horizontal="centerContinuous"/>
    </xf>
    <xf numFmtId="0" fontId="0" fillId="0" borderId="0" xfId="0" pivotButton="1"/>
    <xf numFmtId="0" fontId="0" fillId="0" borderId="0" xfId="0" applyAlignment="1">
      <alignment horizontal="left"/>
    </xf>
    <xf numFmtId="2" fontId="0" fillId="0" borderId="1" xfId="0" applyNumberFormat="1" applyBorder="1"/>
    <xf numFmtId="0" fontId="1" fillId="0" borderId="1" xfId="0" applyFont="1" applyBorder="1"/>
    <xf numFmtId="0" fontId="3" fillId="0" borderId="0" xfId="0" applyFont="1"/>
    <xf numFmtId="164" fontId="1" fillId="2" borderId="1" xfId="0" applyNumberFormat="1" applyFont="1" applyFill="1" applyBorder="1"/>
    <xf numFmtId="164" fontId="0" fillId="0" borderId="1" xfId="0" applyNumberFormat="1" applyBorder="1"/>
    <xf numFmtId="165" fontId="0" fillId="0" borderId="0" xfId="0" applyNumberFormat="1"/>
    <xf numFmtId="0" fontId="4" fillId="0" borderId="0" xfId="0" applyFont="1" applyAlignment="1">
      <alignment horizontal="center" vertical="center" readingOrder="1"/>
    </xf>
    <xf numFmtId="0" fontId="0" fillId="3" borderId="0" xfId="0" applyFill="1"/>
    <xf numFmtId="164" fontId="0" fillId="0" borderId="1" xfId="1" applyNumberFormat="1" applyFont="1" applyBorder="1"/>
  </cellXfs>
  <cellStyles count="2">
    <cellStyle name="Currency" xfId="1" builtinId="4"/>
    <cellStyle name="Normal" xfId="0" builtinId="0"/>
  </cellStyles>
  <dxfs count="5">
    <dxf>
      <numFmt numFmtId="165" formatCode="_-[$$-409]* #,##0_ ;_-[$$-409]* \-#,##0\ ;_-[$$-409]* &quot;-&quot;??_ ;_-@_ "/>
    </dxf>
    <dxf>
      <numFmt numFmtId="165" formatCode="_-[$$-409]* #,##0_ ;_-[$$-409]* \-#,##0\ ;_-[$$-409]* &quot;-&quot;??_ ;_-@_ "/>
    </dxf>
    <dxf>
      <numFmt numFmtId="165" formatCode="_-[$$-409]* #,##0_ ;_-[$$-409]* \-#,##0\ ;_-[$$-409]* &quot;-&quot;??_ ;_-@_ "/>
    </dxf>
    <dxf>
      <numFmt numFmtId="165" formatCode="_-[$$-409]* #,##0_ ;_-[$$-409]* \-#,##0\ ;_-[$$-409]* &quot;-&quot;??_ ;_-@_ "/>
    </dxf>
    <dxf>
      <numFmt numFmtId="165" formatCode="_-[$$-409]* #,##0_ ;_-[$$-409]* \-#,##0\ ;_-[$$-409]* &quot;-&quot;??_ ;_-@_ "/>
    </dxf>
  </dxfs>
  <tableStyles count="0" defaultTableStyle="TableStyleMedium2" defaultPivotStyle="PivotStyleLight16"/>
  <colors>
    <mruColors>
      <color rgb="FF64B5F6"/>
      <color rgb="FF1976D2"/>
      <color rgb="FFF7F9F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[Restaurant tips.xlsx]working file!PivotTable8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latin typeface="Times New Roman" panose="02020603050405020304" pitchFamily="18" charset="0"/>
                <a:cs typeface="Times New Roman" panose="02020603050405020304" pitchFamily="18" charset="0"/>
              </a:rPr>
              <a:t>Tip</a:t>
            </a:r>
            <a:r>
              <a:rPr lang="en-US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 by Day</a:t>
            </a:r>
            <a:endParaRPr lang="en-US" b="1"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'working file'!$R$1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'working file'!$Q$2:$Q$6</c:f>
              <c:strCache>
                <c:ptCount val="4"/>
                <c:pt idx="0">
                  <c:v>Sun</c:v>
                </c:pt>
                <c:pt idx="1">
                  <c:v>Fri</c:v>
                </c:pt>
                <c:pt idx="2">
                  <c:v>Sat</c:v>
                </c:pt>
                <c:pt idx="3">
                  <c:v>Thur</c:v>
                </c:pt>
              </c:strCache>
            </c:strRef>
          </c:cat>
          <c:val>
            <c:numRef>
              <c:f>'working file'!$R$2:$R$6</c:f>
              <c:numCache>
                <c:formatCode>General</c:formatCode>
                <c:ptCount val="4"/>
                <c:pt idx="0">
                  <c:v>247.39000000000007</c:v>
                </c:pt>
                <c:pt idx="1">
                  <c:v>51.96</c:v>
                </c:pt>
                <c:pt idx="2">
                  <c:v>260.39999999999998</c:v>
                </c:pt>
                <c:pt idx="3">
                  <c:v>169.83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21D-4AB9-96ED-1DC95CE1CA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96546543"/>
        <c:axId val="1396545103"/>
      </c:barChart>
      <c:catAx>
        <c:axId val="13965465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6545103"/>
        <c:crosses val="autoZero"/>
        <c:auto val="1"/>
        <c:lblAlgn val="ctr"/>
        <c:lblOffset val="100"/>
        <c:noMultiLvlLbl val="0"/>
      </c:catAx>
      <c:valAx>
        <c:axId val="13965451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65465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[Restaurant tips.xlsx]working file!PivotTable11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Gender-wise Tip Distribution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'working file'!$B$18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A289-462C-9911-62F383E1111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A289-462C-9911-62F383E1111F}"/>
              </c:ext>
            </c:extLst>
          </c:dPt>
          <c:cat>
            <c:strRef>
              <c:f>'working file'!$A$19:$A$21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'working file'!$B$19:$B$21</c:f>
              <c:numCache>
                <c:formatCode>_-[$$-409]* #,##0_ ;_-[$$-409]* \-#,##0\ ;_-[$$-409]* "-"??_ ;_-@_ </c:formatCode>
                <c:ptCount val="2"/>
                <c:pt idx="0">
                  <c:v>244.51</c:v>
                </c:pt>
                <c:pt idx="1">
                  <c:v>485.07000000000011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F6D-4096-B381-0B62FBA3AE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[Restaurant tips.xlsx]working file!PivotTable2</c:name>
    <c:fmtId val="1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baseline="0">
                <a:effectLst/>
                <a:latin typeface="Times New Roman" panose="02020603050405020304" pitchFamily="18" charset="0"/>
                <a:cs typeface="Times New Roman" panose="02020603050405020304" pitchFamily="18" charset="0"/>
              </a:rPr>
              <a:t>Sum of Tip</a:t>
            </a:r>
            <a:r>
              <a:rPr lang="en-IN" sz="1400" b="1" i="0" u="none" strike="noStrike" baseline="0">
                <a:effectLst/>
              </a:rPr>
              <a:t> </a:t>
            </a:r>
            <a:r>
              <a:rPr lang="en-IN" sz="1400" b="0" i="0" u="none" strike="noStrike" baseline="0">
                <a:effectLst/>
              </a:rPr>
              <a:t> 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'working file'!$L$1:$L$2</c:f>
              <c:strCache>
                <c:ptCount val="1"/>
                <c:pt idx="0">
                  <c:v>Female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'working file'!$K$3:$K$5</c:f>
              <c:strCache>
                <c:ptCount val="2"/>
                <c:pt idx="0">
                  <c:v>Dinner</c:v>
                </c:pt>
                <c:pt idx="1">
                  <c:v>Lunch</c:v>
                </c:pt>
              </c:strCache>
            </c:strRef>
          </c:cat>
          <c:val>
            <c:numRef>
              <c:f>'working file'!$L$3:$L$5</c:f>
              <c:numCache>
                <c:formatCode>General</c:formatCode>
                <c:ptCount val="2"/>
                <c:pt idx="0">
                  <c:v>156.10999999999999</c:v>
                </c:pt>
                <c:pt idx="1">
                  <c:v>88.40000000000002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B81-4A3D-963C-18DDBBDF37A7}"/>
            </c:ext>
          </c:extLst>
        </c:ser>
        <c:ser>
          <c:idx val="1"/>
          <c:order val="1"/>
          <c:tx>
            <c:strRef>
              <c:f>'working file'!$M$1:$M$2</c:f>
              <c:strCache>
                <c:ptCount val="1"/>
                <c:pt idx="0">
                  <c:v>Male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'working file'!$K$3:$K$5</c:f>
              <c:strCache>
                <c:ptCount val="2"/>
                <c:pt idx="0">
                  <c:v>Dinner</c:v>
                </c:pt>
                <c:pt idx="1">
                  <c:v>Lunch</c:v>
                </c:pt>
              </c:strCache>
            </c:strRef>
          </c:cat>
          <c:val>
            <c:numRef>
              <c:f>'working file'!$M$3:$M$5</c:f>
              <c:numCache>
                <c:formatCode>General</c:formatCode>
                <c:ptCount val="2"/>
                <c:pt idx="0">
                  <c:v>389.96000000000004</c:v>
                </c:pt>
                <c:pt idx="1">
                  <c:v>95.11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B81-4A3D-963C-18DDBBDF37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592802879"/>
        <c:axId val="1303539167"/>
      </c:barChart>
      <c:catAx>
        <c:axId val="159280287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3539167"/>
        <c:crosses val="autoZero"/>
        <c:auto val="1"/>
        <c:lblAlgn val="ctr"/>
        <c:lblOffset val="100"/>
        <c:noMultiLvlLbl val="0"/>
      </c:catAx>
      <c:valAx>
        <c:axId val="13035391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28028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aseline="0"/>
              <a:t> </a:t>
            </a:r>
            <a:r>
              <a:rPr lang="en-IN" sz="1400" b="1" i="0" u="none" strike="noStrike" baseline="0">
                <a:solidFill>
                  <a:sysClr val="windowText" lastClr="00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Gender-wise Tip Distribution</a:t>
            </a:r>
            <a:endParaRPr lang="en-IN" b="1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"/>
        <c:spPr>
          <a:solidFill>
            <a:schemeClr val="accent6">
              <a:lumMod val="50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6">
              <a:lumMod val="75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"/>
        <c:spPr>
          <a:solidFill>
            <a:schemeClr val="accent6">
              <a:lumMod val="50000"/>
            </a:schemeClr>
          </a:solidFill>
          <a:ln w="9525">
            <a:solidFill>
              <a:schemeClr val="bg1"/>
            </a:solidFill>
          </a:ln>
          <a:effectLst/>
          <a:sp3d contourW="9525">
            <a:contourClr>
              <a:schemeClr val="bg1"/>
            </a:contourClr>
          </a:sp3d>
        </c:spPr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v>Total</c:v>
          </c:tx>
          <c:spPr>
            <a:solidFill>
              <a:schemeClr val="accent6">
                <a:lumMod val="50000"/>
              </a:schemeClr>
            </a:solidFill>
          </c:spPr>
          <c:dPt>
            <c:idx val="0"/>
            <c:bubble3D val="0"/>
            <c:spPr>
              <a:solidFill>
                <a:schemeClr val="accent6">
                  <a:lumMod val="7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132B-407D-89D3-4FFF4C0E9A55}"/>
              </c:ext>
            </c:extLst>
          </c:dPt>
          <c:dPt>
            <c:idx val="1"/>
            <c:bubble3D val="0"/>
            <c:spPr>
              <a:solidFill>
                <a:schemeClr val="accent6">
                  <a:lumMod val="50000"/>
                </a:schemeClr>
              </a:solidFill>
              <a:ln w="9525">
                <a:solidFill>
                  <a:schemeClr val="bg1"/>
                </a:solidFill>
              </a:ln>
              <a:effectLst/>
              <a:sp3d contourW="9525">
                <a:contourClr>
                  <a:schemeClr val="bg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132B-407D-89D3-4FFF4C0E9A55}"/>
              </c:ext>
            </c:extLst>
          </c:dPt>
          <c:cat>
            <c:strLit>
              <c:ptCount val="2"/>
              <c:pt idx="0">
                <c:v>Female</c:v>
              </c:pt>
              <c:pt idx="1">
                <c:v>Male</c:v>
              </c:pt>
            </c:strLit>
          </c:cat>
          <c:val>
            <c:numLit>
              <c:formatCode>General</c:formatCode>
              <c:ptCount val="2"/>
              <c:pt idx="0">
                <c:v>244.51</c:v>
              </c:pt>
              <c:pt idx="1">
                <c:v>485.07000000000011</c:v>
              </c:pt>
            </c:numLit>
          </c:val>
          <c:extLst>
            <c:ext xmlns:c16="http://schemas.microsoft.com/office/drawing/2014/chart" uri="{C3380CC4-5D6E-409C-BE32-E72D297353CC}">
              <c16:uniqueId val="{00000004-132B-407D-89D3-4FFF4C0E9A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accent6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[Restaurant tips.xlsx]working file!PivotTable8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ysClr val="windowText" lastClr="00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Tip</a:t>
            </a:r>
            <a:r>
              <a:rPr lang="en-US" b="1" baseline="0">
                <a:solidFill>
                  <a:sysClr val="windowText" lastClr="00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Day</a:t>
            </a:r>
            <a:endParaRPr lang="en-US" b="1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layout>
        <c:manualLayout>
          <c:xMode val="edge"/>
          <c:yMode val="edge"/>
          <c:x val="0.37090419667690794"/>
          <c:y val="7.932667634422792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'working file'!$R$1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'working file'!$Q$2:$Q$6</c:f>
              <c:strCache>
                <c:ptCount val="4"/>
                <c:pt idx="0">
                  <c:v>Sun</c:v>
                </c:pt>
                <c:pt idx="1">
                  <c:v>Fri</c:v>
                </c:pt>
                <c:pt idx="2">
                  <c:v>Sat</c:v>
                </c:pt>
                <c:pt idx="3">
                  <c:v>Thur</c:v>
                </c:pt>
              </c:strCache>
            </c:strRef>
          </c:cat>
          <c:val>
            <c:numRef>
              <c:f>'working file'!$R$2:$R$6</c:f>
              <c:numCache>
                <c:formatCode>General</c:formatCode>
                <c:ptCount val="4"/>
                <c:pt idx="0">
                  <c:v>247.39000000000007</c:v>
                </c:pt>
                <c:pt idx="1">
                  <c:v>51.96</c:v>
                </c:pt>
                <c:pt idx="2">
                  <c:v>260.39999999999998</c:v>
                </c:pt>
                <c:pt idx="3">
                  <c:v>169.83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C25-4240-B41A-F12A7471D3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96546543"/>
        <c:axId val="1396545103"/>
      </c:barChart>
      <c:catAx>
        <c:axId val="13965465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6545103"/>
        <c:crosses val="autoZero"/>
        <c:auto val="1"/>
        <c:lblAlgn val="ctr"/>
        <c:lblOffset val="100"/>
        <c:noMultiLvlLbl val="0"/>
      </c:catAx>
      <c:valAx>
        <c:axId val="13965451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65465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accent6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n-US"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rPr>
              <a:t> </a:t>
            </a:r>
            <a:r>
              <a:rPr lang="en-US" sz="1400" b="1" i="0" u="none" strike="noStrike" kern="1200" spc="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rPr>
              <a:t>Predicted 	Tip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n-US" sz="14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tips_table!$P$1</c:f>
              <c:strCache>
                <c:ptCount val="1"/>
                <c:pt idx="0">
                  <c:v> Predicted tip </c:v>
                </c:pt>
              </c:strCache>
            </c:strRef>
          </c:tx>
          <c:spPr>
            <a:ln w="19050" cap="rnd">
              <a:solidFill>
                <a:schemeClr val="bg1"/>
              </a:solidFill>
              <a:round/>
            </a:ln>
            <a:effectLst>
              <a:glow rad="127000">
                <a:schemeClr val="bg1">
                  <a:alpha val="90000"/>
                </a:schemeClr>
              </a:glow>
              <a:outerShdw blurRad="50800" dist="50800" dir="5400000" algn="ctr" rotWithShape="0">
                <a:schemeClr val="bg1"/>
              </a:outerShdw>
              <a:softEdge rad="0"/>
            </a:effectLst>
          </c:spPr>
          <c:marker>
            <c:symbol val="circle"/>
            <c:size val="5"/>
            <c:spPr>
              <a:solidFill>
                <a:schemeClr val="accent6">
                  <a:lumMod val="50000"/>
                </a:schemeClr>
              </a:solidFill>
              <a:ln w="9525">
                <a:solidFill>
                  <a:schemeClr val="bg1"/>
                </a:solidFill>
              </a:ln>
              <a:effectLst>
                <a:glow rad="127000">
                  <a:schemeClr val="bg1">
                    <a:alpha val="90000"/>
                  </a:schemeClr>
                </a:glow>
                <a:outerShdw blurRad="50800" dist="50800" dir="5400000" algn="ctr" rotWithShape="0">
                  <a:schemeClr val="bg1"/>
                </a:outerShdw>
                <a:softEdge rad="0"/>
              </a:effectLst>
            </c:spPr>
          </c:marker>
          <c:xVal>
            <c:numRef>
              <c:f>tips_table!$O$2:$O$244</c:f>
              <c:numCache>
                <c:formatCode>_-[$$-409]* #,##0.00_ ;_-[$$-409]* \-#,##0.00\ ;_-[$$-409]* "-"??_ ;_-@_ </c:formatCode>
                <c:ptCount val="243"/>
                <c:pt idx="0">
                  <c:v>1.01</c:v>
                </c:pt>
                <c:pt idx="1">
                  <c:v>1.66</c:v>
                </c:pt>
                <c:pt idx="2">
                  <c:v>3.5</c:v>
                </c:pt>
                <c:pt idx="3">
                  <c:v>3.31</c:v>
                </c:pt>
                <c:pt idx="4">
                  <c:v>3.61</c:v>
                </c:pt>
                <c:pt idx="5">
                  <c:v>4.71</c:v>
                </c:pt>
                <c:pt idx="6">
                  <c:v>2</c:v>
                </c:pt>
                <c:pt idx="7">
                  <c:v>3.12</c:v>
                </c:pt>
                <c:pt idx="8">
                  <c:v>1.96</c:v>
                </c:pt>
                <c:pt idx="9">
                  <c:v>3.23</c:v>
                </c:pt>
                <c:pt idx="10">
                  <c:v>1.71</c:v>
                </c:pt>
                <c:pt idx="11">
                  <c:v>5</c:v>
                </c:pt>
                <c:pt idx="12">
                  <c:v>1.57</c:v>
                </c:pt>
                <c:pt idx="13">
                  <c:v>3</c:v>
                </c:pt>
                <c:pt idx="14">
                  <c:v>3.02</c:v>
                </c:pt>
                <c:pt idx="15">
                  <c:v>3.92</c:v>
                </c:pt>
                <c:pt idx="16">
                  <c:v>1.67</c:v>
                </c:pt>
                <c:pt idx="17">
                  <c:v>3.71</c:v>
                </c:pt>
                <c:pt idx="18">
                  <c:v>3.5</c:v>
                </c:pt>
                <c:pt idx="19">
                  <c:v>3.35</c:v>
                </c:pt>
                <c:pt idx="20">
                  <c:v>4.08</c:v>
                </c:pt>
                <c:pt idx="21">
                  <c:v>2.75</c:v>
                </c:pt>
                <c:pt idx="22">
                  <c:v>2.23</c:v>
                </c:pt>
                <c:pt idx="23">
                  <c:v>7.58</c:v>
                </c:pt>
                <c:pt idx="24">
                  <c:v>3.18</c:v>
                </c:pt>
                <c:pt idx="25">
                  <c:v>2.34</c:v>
                </c:pt>
                <c:pt idx="26">
                  <c:v>2</c:v>
                </c:pt>
                <c:pt idx="27">
                  <c:v>2</c:v>
                </c:pt>
                <c:pt idx="28">
                  <c:v>4.3</c:v>
                </c:pt>
                <c:pt idx="29">
                  <c:v>3</c:v>
                </c:pt>
                <c:pt idx="30">
                  <c:v>1.45</c:v>
                </c:pt>
                <c:pt idx="31">
                  <c:v>2.5</c:v>
                </c:pt>
                <c:pt idx="32">
                  <c:v>3</c:v>
                </c:pt>
                <c:pt idx="33">
                  <c:v>2.4500000000000002</c:v>
                </c:pt>
                <c:pt idx="34">
                  <c:v>3.27</c:v>
                </c:pt>
                <c:pt idx="35">
                  <c:v>3.6</c:v>
                </c:pt>
                <c:pt idx="36">
                  <c:v>2</c:v>
                </c:pt>
                <c:pt idx="37">
                  <c:v>3.07</c:v>
                </c:pt>
                <c:pt idx="38">
                  <c:v>2.31</c:v>
                </c:pt>
                <c:pt idx="39">
                  <c:v>5</c:v>
                </c:pt>
                <c:pt idx="40">
                  <c:v>2.2400000000000002</c:v>
                </c:pt>
                <c:pt idx="41">
                  <c:v>2.54</c:v>
                </c:pt>
                <c:pt idx="42">
                  <c:v>3.06</c:v>
                </c:pt>
                <c:pt idx="43">
                  <c:v>1.32</c:v>
                </c:pt>
                <c:pt idx="44">
                  <c:v>5.6</c:v>
                </c:pt>
                <c:pt idx="45">
                  <c:v>3</c:v>
                </c:pt>
                <c:pt idx="46">
                  <c:v>5</c:v>
                </c:pt>
                <c:pt idx="47">
                  <c:v>6</c:v>
                </c:pt>
                <c:pt idx="48">
                  <c:v>2.0499999999999998</c:v>
                </c:pt>
                <c:pt idx="49">
                  <c:v>3</c:v>
                </c:pt>
                <c:pt idx="50">
                  <c:v>2.5</c:v>
                </c:pt>
                <c:pt idx="51">
                  <c:v>2.6</c:v>
                </c:pt>
                <c:pt idx="52">
                  <c:v>5.2</c:v>
                </c:pt>
                <c:pt idx="53">
                  <c:v>1.56</c:v>
                </c:pt>
                <c:pt idx="54">
                  <c:v>4.34</c:v>
                </c:pt>
                <c:pt idx="55">
                  <c:v>3.51</c:v>
                </c:pt>
                <c:pt idx="56">
                  <c:v>3</c:v>
                </c:pt>
                <c:pt idx="57">
                  <c:v>1.5</c:v>
                </c:pt>
                <c:pt idx="58">
                  <c:v>1.76</c:v>
                </c:pt>
                <c:pt idx="59">
                  <c:v>6.73</c:v>
                </c:pt>
                <c:pt idx="60">
                  <c:v>3.21</c:v>
                </c:pt>
                <c:pt idx="61">
                  <c:v>2</c:v>
                </c:pt>
                <c:pt idx="62">
                  <c:v>1.98</c:v>
                </c:pt>
                <c:pt idx="63">
                  <c:v>3.76</c:v>
                </c:pt>
                <c:pt idx="64">
                  <c:v>2.64</c:v>
                </c:pt>
                <c:pt idx="65">
                  <c:v>3.15</c:v>
                </c:pt>
                <c:pt idx="66">
                  <c:v>2.4700000000000002</c:v>
                </c:pt>
                <c:pt idx="67">
                  <c:v>1</c:v>
                </c:pt>
                <c:pt idx="68">
                  <c:v>2.0099999999999998</c:v>
                </c:pt>
                <c:pt idx="69">
                  <c:v>2.09</c:v>
                </c:pt>
                <c:pt idx="70">
                  <c:v>1.97</c:v>
                </c:pt>
                <c:pt idx="71">
                  <c:v>3</c:v>
                </c:pt>
                <c:pt idx="72">
                  <c:v>3.14</c:v>
                </c:pt>
                <c:pt idx="73">
                  <c:v>5</c:v>
                </c:pt>
                <c:pt idx="74">
                  <c:v>2.2000000000000002</c:v>
                </c:pt>
                <c:pt idx="75">
                  <c:v>1.25</c:v>
                </c:pt>
                <c:pt idx="76">
                  <c:v>3.08</c:v>
                </c:pt>
                <c:pt idx="77">
                  <c:v>4</c:v>
                </c:pt>
                <c:pt idx="78">
                  <c:v>3</c:v>
                </c:pt>
                <c:pt idx="79">
                  <c:v>2.71</c:v>
                </c:pt>
                <c:pt idx="80">
                  <c:v>3</c:v>
                </c:pt>
                <c:pt idx="81">
                  <c:v>3.4</c:v>
                </c:pt>
                <c:pt idx="82">
                  <c:v>1.83</c:v>
                </c:pt>
                <c:pt idx="83">
                  <c:v>5</c:v>
                </c:pt>
                <c:pt idx="84">
                  <c:v>2.0299999999999998</c:v>
                </c:pt>
                <c:pt idx="85">
                  <c:v>5.17</c:v>
                </c:pt>
                <c:pt idx="86">
                  <c:v>2</c:v>
                </c:pt>
                <c:pt idx="87">
                  <c:v>4</c:v>
                </c:pt>
                <c:pt idx="88">
                  <c:v>5.85</c:v>
                </c:pt>
                <c:pt idx="89">
                  <c:v>3</c:v>
                </c:pt>
                <c:pt idx="90">
                  <c:v>3</c:v>
                </c:pt>
                <c:pt idx="91">
                  <c:v>3.5</c:v>
                </c:pt>
                <c:pt idx="92">
                  <c:v>1</c:v>
                </c:pt>
                <c:pt idx="93">
                  <c:v>4.3</c:v>
                </c:pt>
                <c:pt idx="94">
                  <c:v>3.25</c:v>
                </c:pt>
                <c:pt idx="95">
                  <c:v>4.7300000000000004</c:v>
                </c:pt>
                <c:pt idx="96">
                  <c:v>4</c:v>
                </c:pt>
                <c:pt idx="97">
                  <c:v>1.5</c:v>
                </c:pt>
                <c:pt idx="98">
                  <c:v>3</c:v>
                </c:pt>
                <c:pt idx="99">
                  <c:v>1.5</c:v>
                </c:pt>
                <c:pt idx="100">
                  <c:v>2.5</c:v>
                </c:pt>
                <c:pt idx="101">
                  <c:v>3</c:v>
                </c:pt>
                <c:pt idx="102">
                  <c:v>2.5</c:v>
                </c:pt>
                <c:pt idx="103">
                  <c:v>3.48</c:v>
                </c:pt>
                <c:pt idx="104">
                  <c:v>4.08</c:v>
                </c:pt>
                <c:pt idx="105">
                  <c:v>1.64</c:v>
                </c:pt>
                <c:pt idx="106">
                  <c:v>4.0599999999999996</c:v>
                </c:pt>
                <c:pt idx="107">
                  <c:v>4.29</c:v>
                </c:pt>
                <c:pt idx="108">
                  <c:v>3.76</c:v>
                </c:pt>
                <c:pt idx="109">
                  <c:v>4</c:v>
                </c:pt>
                <c:pt idx="110">
                  <c:v>3</c:v>
                </c:pt>
                <c:pt idx="111">
                  <c:v>1</c:v>
                </c:pt>
                <c:pt idx="112">
                  <c:v>4</c:v>
                </c:pt>
                <c:pt idx="113">
                  <c:v>2.5499999999999998</c:v>
                </c:pt>
                <c:pt idx="114">
                  <c:v>4</c:v>
                </c:pt>
                <c:pt idx="115">
                  <c:v>3.5</c:v>
                </c:pt>
                <c:pt idx="116">
                  <c:v>5.07</c:v>
                </c:pt>
                <c:pt idx="117">
                  <c:v>1.5</c:v>
                </c:pt>
                <c:pt idx="118">
                  <c:v>1.8</c:v>
                </c:pt>
                <c:pt idx="119">
                  <c:v>2.92</c:v>
                </c:pt>
                <c:pt idx="120">
                  <c:v>2.31</c:v>
                </c:pt>
                <c:pt idx="121">
                  <c:v>1.68</c:v>
                </c:pt>
                <c:pt idx="122">
                  <c:v>2.5</c:v>
                </c:pt>
                <c:pt idx="123">
                  <c:v>2</c:v>
                </c:pt>
                <c:pt idx="124">
                  <c:v>2.52</c:v>
                </c:pt>
                <c:pt idx="125">
                  <c:v>4.2</c:v>
                </c:pt>
                <c:pt idx="126">
                  <c:v>1.48</c:v>
                </c:pt>
                <c:pt idx="127">
                  <c:v>2</c:v>
                </c:pt>
                <c:pt idx="128">
                  <c:v>2</c:v>
                </c:pt>
                <c:pt idx="129">
                  <c:v>2.1800000000000002</c:v>
                </c:pt>
                <c:pt idx="130">
                  <c:v>1.5</c:v>
                </c:pt>
                <c:pt idx="131">
                  <c:v>2.83</c:v>
                </c:pt>
                <c:pt idx="132">
                  <c:v>1.5</c:v>
                </c:pt>
                <c:pt idx="133">
                  <c:v>2</c:v>
                </c:pt>
                <c:pt idx="134">
                  <c:v>3.25</c:v>
                </c:pt>
                <c:pt idx="135">
                  <c:v>1.25</c:v>
                </c:pt>
                <c:pt idx="136">
                  <c:v>2</c:v>
                </c:pt>
                <c:pt idx="137">
                  <c:v>2</c:v>
                </c:pt>
                <c:pt idx="138">
                  <c:v>2</c:v>
                </c:pt>
                <c:pt idx="139">
                  <c:v>2.75</c:v>
                </c:pt>
                <c:pt idx="140">
                  <c:v>3.5</c:v>
                </c:pt>
                <c:pt idx="141">
                  <c:v>6.7</c:v>
                </c:pt>
                <c:pt idx="142">
                  <c:v>5</c:v>
                </c:pt>
                <c:pt idx="143">
                  <c:v>5</c:v>
                </c:pt>
                <c:pt idx="144">
                  <c:v>2.2999999999999998</c:v>
                </c:pt>
                <c:pt idx="145">
                  <c:v>1.5</c:v>
                </c:pt>
                <c:pt idx="146">
                  <c:v>1.36</c:v>
                </c:pt>
                <c:pt idx="147">
                  <c:v>1.63</c:v>
                </c:pt>
                <c:pt idx="148">
                  <c:v>1.73</c:v>
                </c:pt>
                <c:pt idx="149">
                  <c:v>2</c:v>
                </c:pt>
                <c:pt idx="150">
                  <c:v>2.5</c:v>
                </c:pt>
                <c:pt idx="151">
                  <c:v>2</c:v>
                </c:pt>
                <c:pt idx="152">
                  <c:v>2.74</c:v>
                </c:pt>
                <c:pt idx="153">
                  <c:v>2</c:v>
                </c:pt>
                <c:pt idx="154">
                  <c:v>2</c:v>
                </c:pt>
                <c:pt idx="155">
                  <c:v>5.14</c:v>
                </c:pt>
                <c:pt idx="156">
                  <c:v>5</c:v>
                </c:pt>
                <c:pt idx="157">
                  <c:v>3.75</c:v>
                </c:pt>
                <c:pt idx="158">
                  <c:v>2.61</c:v>
                </c:pt>
                <c:pt idx="159">
                  <c:v>2</c:v>
                </c:pt>
                <c:pt idx="160">
                  <c:v>3.5</c:v>
                </c:pt>
                <c:pt idx="161">
                  <c:v>2.5</c:v>
                </c:pt>
                <c:pt idx="162">
                  <c:v>2</c:v>
                </c:pt>
                <c:pt idx="163">
                  <c:v>2</c:v>
                </c:pt>
                <c:pt idx="164">
                  <c:v>3</c:v>
                </c:pt>
                <c:pt idx="165">
                  <c:v>3.48</c:v>
                </c:pt>
                <c:pt idx="166">
                  <c:v>2.2400000000000002</c:v>
                </c:pt>
                <c:pt idx="167">
                  <c:v>4.5</c:v>
                </c:pt>
                <c:pt idx="168">
                  <c:v>1.61</c:v>
                </c:pt>
                <c:pt idx="169">
                  <c:v>2</c:v>
                </c:pt>
                <c:pt idx="170">
                  <c:v>10</c:v>
                </c:pt>
                <c:pt idx="171">
                  <c:v>3.16</c:v>
                </c:pt>
                <c:pt idx="172">
                  <c:v>5.15</c:v>
                </c:pt>
                <c:pt idx="173">
                  <c:v>3.18</c:v>
                </c:pt>
                <c:pt idx="174">
                  <c:v>4</c:v>
                </c:pt>
                <c:pt idx="175">
                  <c:v>3.11</c:v>
                </c:pt>
                <c:pt idx="176">
                  <c:v>2</c:v>
                </c:pt>
                <c:pt idx="177">
                  <c:v>2</c:v>
                </c:pt>
                <c:pt idx="178">
                  <c:v>4</c:v>
                </c:pt>
                <c:pt idx="179">
                  <c:v>3.55</c:v>
                </c:pt>
                <c:pt idx="180">
                  <c:v>3.68</c:v>
                </c:pt>
                <c:pt idx="181">
                  <c:v>5.65</c:v>
                </c:pt>
                <c:pt idx="182">
                  <c:v>3.5</c:v>
                </c:pt>
                <c:pt idx="183">
                  <c:v>6.5</c:v>
                </c:pt>
                <c:pt idx="184">
                  <c:v>3</c:v>
                </c:pt>
                <c:pt idx="185">
                  <c:v>5</c:v>
                </c:pt>
                <c:pt idx="186">
                  <c:v>3.5</c:v>
                </c:pt>
                <c:pt idx="187">
                  <c:v>2</c:v>
                </c:pt>
                <c:pt idx="188">
                  <c:v>3.5</c:v>
                </c:pt>
                <c:pt idx="189">
                  <c:v>4</c:v>
                </c:pt>
                <c:pt idx="190">
                  <c:v>1.5</c:v>
                </c:pt>
                <c:pt idx="191">
                  <c:v>4.1900000000000004</c:v>
                </c:pt>
                <c:pt idx="192">
                  <c:v>2.56</c:v>
                </c:pt>
                <c:pt idx="193">
                  <c:v>2.02</c:v>
                </c:pt>
                <c:pt idx="194">
                  <c:v>4</c:v>
                </c:pt>
                <c:pt idx="195">
                  <c:v>1.44</c:v>
                </c:pt>
                <c:pt idx="196">
                  <c:v>2</c:v>
                </c:pt>
                <c:pt idx="197">
                  <c:v>5</c:v>
                </c:pt>
                <c:pt idx="198">
                  <c:v>2</c:v>
                </c:pt>
                <c:pt idx="199">
                  <c:v>2</c:v>
                </c:pt>
                <c:pt idx="200">
                  <c:v>4</c:v>
                </c:pt>
                <c:pt idx="201">
                  <c:v>2.0099999999999998</c:v>
                </c:pt>
                <c:pt idx="202">
                  <c:v>2.5</c:v>
                </c:pt>
                <c:pt idx="203">
                  <c:v>4</c:v>
                </c:pt>
                <c:pt idx="204">
                  <c:v>3.23</c:v>
                </c:pt>
                <c:pt idx="205">
                  <c:v>3.41</c:v>
                </c:pt>
                <c:pt idx="206">
                  <c:v>3</c:v>
                </c:pt>
                <c:pt idx="207">
                  <c:v>2.0299999999999998</c:v>
                </c:pt>
                <c:pt idx="208">
                  <c:v>2.23</c:v>
                </c:pt>
                <c:pt idx="209">
                  <c:v>2</c:v>
                </c:pt>
                <c:pt idx="210">
                  <c:v>5.16</c:v>
                </c:pt>
                <c:pt idx="211">
                  <c:v>9</c:v>
                </c:pt>
                <c:pt idx="212">
                  <c:v>2.5</c:v>
                </c:pt>
                <c:pt idx="213">
                  <c:v>6.5</c:v>
                </c:pt>
                <c:pt idx="214">
                  <c:v>1.1000000000000001</c:v>
                </c:pt>
                <c:pt idx="215">
                  <c:v>3</c:v>
                </c:pt>
                <c:pt idx="216">
                  <c:v>1.5</c:v>
                </c:pt>
                <c:pt idx="217">
                  <c:v>1.44</c:v>
                </c:pt>
                <c:pt idx="218">
                  <c:v>3.09</c:v>
                </c:pt>
                <c:pt idx="219">
                  <c:v>2.2000000000000002</c:v>
                </c:pt>
                <c:pt idx="220">
                  <c:v>3.48</c:v>
                </c:pt>
                <c:pt idx="221">
                  <c:v>1.92</c:v>
                </c:pt>
                <c:pt idx="222">
                  <c:v>3</c:v>
                </c:pt>
                <c:pt idx="223">
                  <c:v>1.58</c:v>
                </c:pt>
                <c:pt idx="224">
                  <c:v>2.5</c:v>
                </c:pt>
                <c:pt idx="225">
                  <c:v>2</c:v>
                </c:pt>
                <c:pt idx="226">
                  <c:v>3</c:v>
                </c:pt>
                <c:pt idx="227">
                  <c:v>2.72</c:v>
                </c:pt>
                <c:pt idx="228">
                  <c:v>2.88</c:v>
                </c:pt>
                <c:pt idx="229">
                  <c:v>2</c:v>
                </c:pt>
                <c:pt idx="230">
                  <c:v>3</c:v>
                </c:pt>
                <c:pt idx="231">
                  <c:v>3.39</c:v>
                </c:pt>
                <c:pt idx="232">
                  <c:v>1.47</c:v>
                </c:pt>
                <c:pt idx="233">
                  <c:v>3</c:v>
                </c:pt>
                <c:pt idx="234">
                  <c:v>1.25</c:v>
                </c:pt>
                <c:pt idx="235">
                  <c:v>1</c:v>
                </c:pt>
                <c:pt idx="236">
                  <c:v>1.17</c:v>
                </c:pt>
                <c:pt idx="237">
                  <c:v>4.67</c:v>
                </c:pt>
                <c:pt idx="238">
                  <c:v>5.92</c:v>
                </c:pt>
                <c:pt idx="239">
                  <c:v>2</c:v>
                </c:pt>
                <c:pt idx="240">
                  <c:v>2</c:v>
                </c:pt>
                <c:pt idx="241">
                  <c:v>1.75</c:v>
                </c:pt>
                <c:pt idx="242">
                  <c:v>3</c:v>
                </c:pt>
              </c:numCache>
            </c:numRef>
          </c:xVal>
          <c:yVal>
            <c:numRef>
              <c:f>tips_table!$P$2:$P$244</c:f>
              <c:numCache>
                <c:formatCode>_-[$$-409]* #,##0.00_ ;_-[$$-409]* \-#,##0.00\ ;_-[$$-409]* "-"??_ ;_-@_ </c:formatCode>
                <c:ptCount val="243"/>
                <c:pt idx="0">
                  <c:v>2.746632639519702</c:v>
                </c:pt>
                <c:pt idx="1">
                  <c:v>2.2557949168265106</c:v>
                </c:pt>
                <c:pt idx="2">
                  <c:v>3.2627658188938056</c:v>
                </c:pt>
                <c:pt idx="3">
                  <c:v>3.340811363412493</c:v>
                </c:pt>
                <c:pt idx="4">
                  <c:v>3.8117415010681555</c:v>
                </c:pt>
                <c:pt idx="5">
                  <c:v>3.8406197841565324</c:v>
                </c:pt>
                <c:pt idx="6">
                  <c:v>1.9336945733634432</c:v>
                </c:pt>
                <c:pt idx="7">
                  <c:v>3.9906744921496906</c:v>
                </c:pt>
                <c:pt idx="8">
                  <c:v>2.5254197426194822</c:v>
                </c:pt>
                <c:pt idx="9">
                  <c:v>2.5008824947715445</c:v>
                </c:pt>
                <c:pt idx="10">
                  <c:v>2.0752556186400075</c:v>
                </c:pt>
                <c:pt idx="11">
                  <c:v>4.81871240313545</c:v>
                </c:pt>
                <c:pt idx="12">
                  <c:v>2.5612818740895453</c:v>
                </c:pt>
                <c:pt idx="13">
                  <c:v>3.1932139370917114</c:v>
                </c:pt>
                <c:pt idx="14">
                  <c:v>2.54278473432145</c:v>
                </c:pt>
                <c:pt idx="15">
                  <c:v>3.142625900025303</c:v>
                </c:pt>
                <c:pt idx="16">
                  <c:v>2.2920347145653537</c:v>
                </c:pt>
                <c:pt idx="17">
                  <c:v>2.8173203964235496</c:v>
                </c:pt>
                <c:pt idx="18">
                  <c:v>2.9186782749896114</c:v>
                </c:pt>
                <c:pt idx="19">
                  <c:v>3.1217934824072939</c:v>
                </c:pt>
                <c:pt idx="20">
                  <c:v>2.6902192639303504</c:v>
                </c:pt>
                <c:pt idx="21">
                  <c:v>2.9510692535080079</c:v>
                </c:pt>
                <c:pt idx="22">
                  <c:v>2.5244986370746272</c:v>
                </c:pt>
                <c:pt idx="23">
                  <c:v>5.0671271450416331</c:v>
                </c:pt>
                <c:pt idx="24">
                  <c:v>2.8695299212806651</c:v>
                </c:pt>
                <c:pt idx="25">
                  <c:v>3.027704352757262</c:v>
                </c:pt>
                <c:pt idx="26">
                  <c:v>2.260817426591438</c:v>
                </c:pt>
                <c:pt idx="27">
                  <c:v>2.1966430860660622</c:v>
                </c:pt>
                <c:pt idx="28">
                  <c:v>3.0469530980272919</c:v>
                </c:pt>
                <c:pt idx="29">
                  <c:v>2.8906698741900074</c:v>
                </c:pt>
                <c:pt idx="30">
                  <c:v>1.9003086312871207</c:v>
                </c:pt>
                <c:pt idx="31">
                  <c:v>3.0786663290568255</c:v>
                </c:pt>
                <c:pt idx="32">
                  <c:v>2.4574930756437201</c:v>
                </c:pt>
                <c:pt idx="33">
                  <c:v>3.3366850977289522</c:v>
                </c:pt>
                <c:pt idx="34">
                  <c:v>2.6770068997045371</c:v>
                </c:pt>
                <c:pt idx="35">
                  <c:v>3.4436089253360169</c:v>
                </c:pt>
                <c:pt idx="36">
                  <c:v>2.7122101914071006</c:v>
                </c:pt>
                <c:pt idx="37">
                  <c:v>2.8079056281621009</c:v>
                </c:pt>
                <c:pt idx="38">
                  <c:v>2.9368203832459168</c:v>
                </c:pt>
                <c:pt idx="39">
                  <c:v>4.1240456829653702</c:v>
                </c:pt>
                <c:pt idx="40">
                  <c:v>2.6867292032573191</c:v>
                </c:pt>
                <c:pt idx="41">
                  <c:v>2.7538048956656729</c:v>
                </c:pt>
                <c:pt idx="42">
                  <c:v>2.4216083094166683</c:v>
                </c:pt>
                <c:pt idx="43">
                  <c:v>2.0195749408312258</c:v>
                </c:pt>
                <c:pt idx="44">
                  <c:v>4.3228710783986948</c:v>
                </c:pt>
                <c:pt idx="45">
                  <c:v>2.8321353407187049</c:v>
                </c:pt>
                <c:pt idx="46">
                  <c:v>3.2039690196451476</c:v>
                </c:pt>
                <c:pt idx="47">
                  <c:v>4.5116191387674469</c:v>
                </c:pt>
                <c:pt idx="48">
                  <c:v>3.9743460064840024</c:v>
                </c:pt>
                <c:pt idx="49">
                  <c:v>2.8085418331726109</c:v>
                </c:pt>
                <c:pt idx="50">
                  <c:v>2.2894846671585416</c:v>
                </c:pt>
                <c:pt idx="51">
                  <c:v>2.1143266372843814</c:v>
                </c:pt>
                <c:pt idx="52">
                  <c:v>4.7762440895524811</c:v>
                </c:pt>
                <c:pt idx="53">
                  <c:v>2.0441121886791636</c:v>
                </c:pt>
                <c:pt idx="54">
                  <c:v>3.8661007723063139</c:v>
                </c:pt>
                <c:pt idx="55">
                  <c:v>2.9453841769399567</c:v>
                </c:pt>
                <c:pt idx="56">
                  <c:v>4.8603720039554883</c:v>
                </c:pt>
                <c:pt idx="57">
                  <c:v>3.5286383182363905</c:v>
                </c:pt>
                <c:pt idx="58">
                  <c:v>1.9861129837725431</c:v>
                </c:pt>
                <c:pt idx="59">
                  <c:v>5.9023373121733629</c:v>
                </c:pt>
                <c:pt idx="60">
                  <c:v>2.840197956941148</c:v>
                </c:pt>
                <c:pt idx="61">
                  <c:v>2.2286542413463901</c:v>
                </c:pt>
                <c:pt idx="62">
                  <c:v>1.9653506971319803</c:v>
                </c:pt>
                <c:pt idx="63">
                  <c:v>2.9993161287195891</c:v>
                </c:pt>
                <c:pt idx="64">
                  <c:v>2.8330089500431024</c:v>
                </c:pt>
                <c:pt idx="65">
                  <c:v>3.0680002852021993</c:v>
                </c:pt>
                <c:pt idx="66">
                  <c:v>2.5886729776000035</c:v>
                </c:pt>
                <c:pt idx="67">
                  <c:v>1.0783275791332785</c:v>
                </c:pt>
                <c:pt idx="68">
                  <c:v>2.908223273656259</c:v>
                </c:pt>
                <c:pt idx="69">
                  <c:v>2.3419030775676415</c:v>
                </c:pt>
                <c:pt idx="70">
                  <c:v>2.1334124858425301</c:v>
                </c:pt>
                <c:pt idx="71">
                  <c:v>2.8211179923879133</c:v>
                </c:pt>
                <c:pt idx="72">
                  <c:v>3.4974188732931859</c:v>
                </c:pt>
                <c:pt idx="73">
                  <c:v>3.3483079056018719</c:v>
                </c:pt>
                <c:pt idx="74">
                  <c:v>2.4263496456828761</c:v>
                </c:pt>
                <c:pt idx="75">
                  <c:v>1.9909077002641218</c:v>
                </c:pt>
                <c:pt idx="76">
                  <c:v>2.6165315054041764</c:v>
                </c:pt>
                <c:pt idx="77">
                  <c:v>3.949105416114973</c:v>
                </c:pt>
                <c:pt idx="78">
                  <c:v>3.1822184899491495</c:v>
                </c:pt>
                <c:pt idx="79">
                  <c:v>2.665992544840611</c:v>
                </c:pt>
                <c:pt idx="80">
                  <c:v>2.7952089512108467</c:v>
                </c:pt>
                <c:pt idx="81">
                  <c:v>2.6065369058244539</c:v>
                </c:pt>
                <c:pt idx="82">
                  <c:v>1.847862468876504</c:v>
                </c:pt>
                <c:pt idx="83">
                  <c:v>4.044721110851988</c:v>
                </c:pt>
                <c:pt idx="84">
                  <c:v>2.542362565299078</c:v>
                </c:pt>
                <c:pt idx="85">
                  <c:v>4.7063628044624499</c:v>
                </c:pt>
                <c:pt idx="86">
                  <c:v>2.2639591762551681</c:v>
                </c:pt>
                <c:pt idx="87">
                  <c:v>2.7594228347231438</c:v>
                </c:pt>
                <c:pt idx="88">
                  <c:v>3.3662478488086824</c:v>
                </c:pt>
                <c:pt idx="89">
                  <c:v>3.031220041654147</c:v>
                </c:pt>
                <c:pt idx="90">
                  <c:v>3.7128633817516015</c:v>
                </c:pt>
                <c:pt idx="91">
                  <c:v>3.1750074246830176</c:v>
                </c:pt>
                <c:pt idx="92">
                  <c:v>1.5586819389110715</c:v>
                </c:pt>
                <c:pt idx="93">
                  <c:v>2.5562154379599287</c:v>
                </c:pt>
                <c:pt idx="94">
                  <c:v>3.2367282105716413</c:v>
                </c:pt>
                <c:pt idx="95">
                  <c:v>5.1177187519638094</c:v>
                </c:pt>
                <c:pt idx="96">
                  <c:v>3.5533712707400058</c:v>
                </c:pt>
                <c:pt idx="97">
                  <c:v>2.1141673104282681</c:v>
                </c:pt>
                <c:pt idx="98">
                  <c:v>2.961646101483967</c:v>
                </c:pt>
                <c:pt idx="99">
                  <c:v>2.2284359019337234</c:v>
                </c:pt>
                <c:pt idx="100">
                  <c:v>2.0871765079435787</c:v>
                </c:pt>
                <c:pt idx="101">
                  <c:v>2.4675038495866151</c:v>
                </c:pt>
                <c:pt idx="102">
                  <c:v>5.3172350757823041</c:v>
                </c:pt>
                <c:pt idx="103">
                  <c:v>3.0783981792745561</c:v>
                </c:pt>
                <c:pt idx="104">
                  <c:v>3.010524892524165</c:v>
                </c:pt>
                <c:pt idx="105">
                  <c:v>2.3749339881321729</c:v>
                </c:pt>
                <c:pt idx="106">
                  <c:v>2.8590727629780233</c:v>
                </c:pt>
                <c:pt idx="107">
                  <c:v>3.3045181854482792</c:v>
                </c:pt>
                <c:pt idx="108">
                  <c:v>2.7204189535893502</c:v>
                </c:pt>
                <c:pt idx="109">
                  <c:v>2.3130247944792641</c:v>
                </c:pt>
                <c:pt idx="110">
                  <c:v>2.3202730656075952</c:v>
                </c:pt>
                <c:pt idx="111">
                  <c:v>1.5464987838301449</c:v>
                </c:pt>
                <c:pt idx="112">
                  <c:v>4.8727867738392643</c:v>
                </c:pt>
                <c:pt idx="113">
                  <c:v>3.3662923515622745</c:v>
                </c:pt>
                <c:pt idx="114">
                  <c:v>3.74350729880106</c:v>
                </c:pt>
                <c:pt idx="115">
                  <c:v>2.7768323291787027</c:v>
                </c:pt>
                <c:pt idx="116">
                  <c:v>4.2785152842120384</c:v>
                </c:pt>
                <c:pt idx="117">
                  <c:v>2.0765325224570388</c:v>
                </c:pt>
                <c:pt idx="118">
                  <c:v>2.2445182961852286</c:v>
                </c:pt>
                <c:pt idx="119">
                  <c:v>3.6918419799804054</c:v>
                </c:pt>
                <c:pt idx="120">
                  <c:v>2.1374979758081039</c:v>
                </c:pt>
                <c:pt idx="121">
                  <c:v>2.3379485860677613</c:v>
                </c:pt>
                <c:pt idx="122">
                  <c:v>2.3800392333819511</c:v>
                </c:pt>
                <c:pt idx="123">
                  <c:v>2.5395313443935468</c:v>
                </c:pt>
                <c:pt idx="124">
                  <c:v>2.2492369976944477</c:v>
                </c:pt>
                <c:pt idx="125">
                  <c:v>4.5795276647822316</c:v>
                </c:pt>
                <c:pt idx="126">
                  <c:v>1.8383323001236311</c:v>
                </c:pt>
                <c:pt idx="127">
                  <c:v>2.4417600192705748</c:v>
                </c:pt>
                <c:pt idx="128">
                  <c:v>2.1454255644916338</c:v>
                </c:pt>
                <c:pt idx="129">
                  <c:v>3.3618140478338088</c:v>
                </c:pt>
                <c:pt idx="130">
                  <c:v>2.8349220588706441</c:v>
                </c:pt>
                <c:pt idx="131">
                  <c:v>2.9844106928307381</c:v>
                </c:pt>
                <c:pt idx="132">
                  <c:v>2.1256070181529143</c:v>
                </c:pt>
                <c:pt idx="133">
                  <c:v>2.2284747110538845</c:v>
                </c:pt>
                <c:pt idx="134">
                  <c:v>2.7947188921601427</c:v>
                </c:pt>
                <c:pt idx="135">
                  <c:v>1.8745720978624738</c:v>
                </c:pt>
                <c:pt idx="136">
                  <c:v>2.0463328327980386</c:v>
                </c:pt>
                <c:pt idx="137">
                  <c:v>2.4068416281023559</c:v>
                </c:pt>
                <c:pt idx="138">
                  <c:v>2.470562287376592</c:v>
                </c:pt>
                <c:pt idx="139">
                  <c:v>2.3134113382198231</c:v>
                </c:pt>
                <c:pt idx="140">
                  <c:v>2.7201634083144848</c:v>
                </c:pt>
                <c:pt idx="141">
                  <c:v>4.9670272625712375</c:v>
                </c:pt>
                <c:pt idx="142">
                  <c:v>5.4433312144679933</c:v>
                </c:pt>
                <c:pt idx="143">
                  <c:v>4.3199990817751965</c:v>
                </c:pt>
                <c:pt idx="144">
                  <c:v>2.6220144169227337</c:v>
                </c:pt>
                <c:pt idx="145">
                  <c:v>1.8594722530329735</c:v>
                </c:pt>
                <c:pt idx="146">
                  <c:v>3.0045141397038022</c:v>
                </c:pt>
                <c:pt idx="147">
                  <c:v>2.1916688392819781</c:v>
                </c:pt>
                <c:pt idx="148">
                  <c:v>1.9572435781559452</c:v>
                </c:pt>
                <c:pt idx="149">
                  <c:v>1.7430145296374111</c:v>
                </c:pt>
                <c:pt idx="150">
                  <c:v>2.4338769333406374</c:v>
                </c:pt>
                <c:pt idx="151">
                  <c:v>2.3451653449673238</c:v>
                </c:pt>
                <c:pt idx="152">
                  <c:v>2.9088632057023949</c:v>
                </c:pt>
                <c:pt idx="153">
                  <c:v>3.7707830018200941</c:v>
                </c:pt>
                <c:pt idx="154">
                  <c:v>3.3196751375387756</c:v>
                </c:pt>
                <c:pt idx="155">
                  <c:v>4.4820820159115717</c:v>
                </c:pt>
                <c:pt idx="156">
                  <c:v>6.3477638269222556</c:v>
                </c:pt>
                <c:pt idx="157">
                  <c:v>3.8504348534437498</c:v>
                </c:pt>
                <c:pt idx="158">
                  <c:v>2.4068861308559479</c:v>
                </c:pt>
                <c:pt idx="159">
                  <c:v>3.0101283185340213</c:v>
                </c:pt>
                <c:pt idx="160">
                  <c:v>3.4829422097577467</c:v>
                </c:pt>
                <c:pt idx="161">
                  <c:v>2.300809550780667</c:v>
                </c:pt>
                <c:pt idx="162">
                  <c:v>2.8469540120494861</c:v>
                </c:pt>
                <c:pt idx="163">
                  <c:v>2.4093396854926996</c:v>
                </c:pt>
                <c:pt idx="164">
                  <c:v>2.7220193766894045</c:v>
                </c:pt>
                <c:pt idx="165">
                  <c:v>3.594018664840966</c:v>
                </c:pt>
                <c:pt idx="166">
                  <c:v>3.0652391952741147</c:v>
                </c:pt>
                <c:pt idx="167">
                  <c:v>4.4465010579402282</c:v>
                </c:pt>
                <c:pt idx="168">
                  <c:v>1.9619534021933847</c:v>
                </c:pt>
                <c:pt idx="169">
                  <c:v>1.9657283634007598</c:v>
                </c:pt>
                <c:pt idx="170">
                  <c:v>5.894426474241909</c:v>
                </c:pt>
                <c:pt idx="171">
                  <c:v>2.4174023017151427</c:v>
                </c:pt>
                <c:pt idx="172">
                  <c:v>1.7165582889570179</c:v>
                </c:pt>
                <c:pt idx="173">
                  <c:v>4.0381594314926739</c:v>
                </c:pt>
                <c:pt idx="174">
                  <c:v>2.6197177578214985</c:v>
                </c:pt>
                <c:pt idx="175">
                  <c:v>4.1372521631862682</c:v>
                </c:pt>
                <c:pt idx="176">
                  <c:v>2.7206979701187812</c:v>
                </c:pt>
                <c:pt idx="177">
                  <c:v>2.3988825271900582</c:v>
                </c:pt>
                <c:pt idx="178">
                  <c:v>1.9755207979309883</c:v>
                </c:pt>
                <c:pt idx="179">
                  <c:v>4.3005192354052397</c:v>
                </c:pt>
                <c:pt idx="180">
                  <c:v>4.65027294815612</c:v>
                </c:pt>
                <c:pt idx="181">
                  <c:v>3.2340926943217876</c:v>
                </c:pt>
                <c:pt idx="182">
                  <c:v>5.4861419550553503</c:v>
                </c:pt>
                <c:pt idx="183">
                  <c:v>3.5668590816394814</c:v>
                </c:pt>
                <c:pt idx="184">
                  <c:v>4.8592134940967462</c:v>
                </c:pt>
                <c:pt idx="185">
                  <c:v>3.5804323613819991</c:v>
                </c:pt>
                <c:pt idx="186">
                  <c:v>3.2158804550880369</c:v>
                </c:pt>
                <c:pt idx="187">
                  <c:v>4.428778877757181</c:v>
                </c:pt>
                <c:pt idx="188">
                  <c:v>2.9563518720810018</c:v>
                </c:pt>
                <c:pt idx="189">
                  <c:v>3.3863197834529783</c:v>
                </c:pt>
                <c:pt idx="190">
                  <c:v>2.5130751037131533</c:v>
                </c:pt>
                <c:pt idx="191">
                  <c:v>2.8673108804197516</c:v>
                </c:pt>
                <c:pt idx="192">
                  <c:v>3.6445752228702331</c:v>
                </c:pt>
                <c:pt idx="193">
                  <c:v>2.4214877916807165</c:v>
                </c:pt>
                <c:pt idx="194">
                  <c:v>2.52529922488353</c:v>
                </c:pt>
                <c:pt idx="195">
                  <c:v>1.74773323114663</c:v>
                </c:pt>
                <c:pt idx="196">
                  <c:v>1.9364052765330224</c:v>
                </c:pt>
                <c:pt idx="197">
                  <c:v>5.4140920158629111</c:v>
                </c:pt>
                <c:pt idx="198">
                  <c:v>2.2246237348641493</c:v>
                </c:pt>
                <c:pt idx="199">
                  <c:v>2.2355709522174951</c:v>
                </c:pt>
                <c:pt idx="200">
                  <c:v>2.9002490252498485</c:v>
                </c:pt>
                <c:pt idx="201">
                  <c:v>2.2000864870162116</c:v>
                </c:pt>
                <c:pt idx="202">
                  <c:v>2.5454954374910286</c:v>
                </c:pt>
                <c:pt idx="203">
                  <c:v>3.2459428762590101</c:v>
                </c:pt>
                <c:pt idx="204">
                  <c:v>2.7260347356775316</c:v>
                </c:pt>
                <c:pt idx="205">
                  <c:v>3.6086874631763153</c:v>
                </c:pt>
                <c:pt idx="206">
                  <c:v>4.9283213056882396</c:v>
                </c:pt>
                <c:pt idx="207">
                  <c:v>3.2158065970749656</c:v>
                </c:pt>
                <c:pt idx="208">
                  <c:v>2.1667450476934809</c:v>
                </c:pt>
                <c:pt idx="209">
                  <c:v>3.9361653479161007</c:v>
                </c:pt>
                <c:pt idx="210">
                  <c:v>3.7165587581208488</c:v>
                </c:pt>
                <c:pt idx="211">
                  <c:v>5.9079997539844253</c:v>
                </c:pt>
                <c:pt idx="212">
                  <c:v>2.2148758030875131</c:v>
                </c:pt>
                <c:pt idx="213">
                  <c:v>3.7949819689083157</c:v>
                </c:pt>
                <c:pt idx="214">
                  <c:v>2.1799574119192942</c:v>
                </c:pt>
                <c:pt idx="215">
                  <c:v>4.103777182411136</c:v>
                </c:pt>
                <c:pt idx="216">
                  <c:v>2.0191438943370748</c:v>
                </c:pt>
                <c:pt idx="217">
                  <c:v>1.6558038781272262</c:v>
                </c:pt>
                <c:pt idx="218">
                  <c:v>4.1548319244451335</c:v>
                </c:pt>
                <c:pt idx="219">
                  <c:v>2.2151636970887232</c:v>
                </c:pt>
                <c:pt idx="220">
                  <c:v>2.3712585131617239</c:v>
                </c:pt>
                <c:pt idx="221">
                  <c:v>1.7033715529550597</c:v>
                </c:pt>
                <c:pt idx="222">
                  <c:v>2.8604769050334973</c:v>
                </c:pt>
                <c:pt idx="223">
                  <c:v>2.3340749751210375</c:v>
                </c:pt>
                <c:pt idx="224">
                  <c:v>2.6402244991871959</c:v>
                </c:pt>
                <c:pt idx="225">
                  <c:v>2.0569929926477508</c:v>
                </c:pt>
                <c:pt idx="226">
                  <c:v>3.2768517924440155</c:v>
                </c:pt>
                <c:pt idx="227">
                  <c:v>2.2523237638748439</c:v>
                </c:pt>
                <c:pt idx="228">
                  <c:v>3.0500859702192429</c:v>
                </c:pt>
                <c:pt idx="229">
                  <c:v>3.5391355813742216</c:v>
                </c:pt>
                <c:pt idx="230">
                  <c:v>2.5800105341666142</c:v>
                </c:pt>
                <c:pt idx="231">
                  <c:v>2.0947191334669357</c:v>
                </c:pt>
                <c:pt idx="232">
                  <c:v>2.0154449481120595</c:v>
                </c:pt>
                <c:pt idx="233">
                  <c:v>2.390977573263517</c:v>
                </c:pt>
                <c:pt idx="234">
                  <c:v>1.9493831269829964</c:v>
                </c:pt>
                <c:pt idx="235">
                  <c:v>2.1144616648232946</c:v>
                </c:pt>
                <c:pt idx="236">
                  <c:v>4.023648295453226</c:v>
                </c:pt>
                <c:pt idx="237">
                  <c:v>4.5915747986468123</c:v>
                </c:pt>
                <c:pt idx="238">
                  <c:v>3.9126478553523669</c:v>
                </c:pt>
                <c:pt idx="239">
                  <c:v>3.5276185629521866</c:v>
                </c:pt>
                <c:pt idx="240">
                  <c:v>3.0648081487799637</c:v>
                </c:pt>
                <c:pt idx="241">
                  <c:v>2.6807818609119121</c:v>
                </c:pt>
                <c:pt idx="242">
                  <c:v>2.7550656251195318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2B4-49DF-9D30-1C30A078F1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82230975"/>
        <c:axId val="1382229535"/>
      </c:scatterChart>
      <c:valAx>
        <c:axId val="13822309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$-409]* #,##0.00_ ;_-[$$-409]* \-#,##0.00\ ;_-[$$-409]* &quot;-&quot;??_ ;_-@_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2229535"/>
        <c:crosses val="autoZero"/>
        <c:crossBetween val="midCat"/>
      </c:valAx>
      <c:valAx>
        <c:axId val="13822295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$-409]* #,##0.00_ ;_-[$$-409]* \-#,##0.00\ ;_-[$$-409]* &quot;-&quot;??_ ;_-@_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223097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accent6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[Restaurant tips.xlsx]working file!PivotTable2</c:name>
    <c:fmtId val="1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baseline="0">
                <a:solidFill>
                  <a:sysClr val="windowText" lastClr="000000"/>
                </a:solidFill>
                <a:effectLst/>
                <a:latin typeface="Times New Roman" panose="02020603050405020304" pitchFamily="18" charset="0"/>
                <a:cs typeface="Times New Roman" panose="02020603050405020304" pitchFamily="18" charset="0"/>
              </a:rPr>
              <a:t>Total Tip </a:t>
            </a:r>
            <a:r>
              <a:rPr lang="en-IN" sz="1400" b="1" i="0" u="none" strike="noStrike" baseline="0">
                <a:solidFill>
                  <a:sysClr val="windowText" lastClr="000000"/>
                </a:solidFill>
                <a:effectLst/>
              </a:rPr>
              <a:t> </a:t>
            </a:r>
            <a:r>
              <a:rPr lang="en-IN" sz="1400" b="0" i="0" u="none" strike="noStrike" baseline="0">
                <a:solidFill>
                  <a:sysClr val="windowText" lastClr="000000"/>
                </a:solidFill>
                <a:effectLst/>
              </a:rPr>
              <a:t> </a:t>
            </a:r>
            <a:endParaRPr lang="en-IN">
              <a:solidFill>
                <a:sysClr val="windowText" lastClr="000000"/>
              </a:solidFill>
            </a:endParaRPr>
          </a:p>
        </c:rich>
      </c:tx>
      <c:layout>
        <c:manualLayout>
          <c:xMode val="edge"/>
          <c:yMode val="edge"/>
          <c:x val="0.37997089306144421"/>
          <c:y val="4.57190527763955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6">
              <a:lumMod val="50000"/>
            </a:schemeClr>
          </a:solidFill>
          <a:ln>
            <a:solidFill>
              <a:schemeClr val="bg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'working file'!$L$1:$L$2</c:f>
              <c:strCache>
                <c:ptCount val="1"/>
                <c:pt idx="0">
                  <c:v>Female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'working file'!$K$3:$K$5</c:f>
              <c:strCache>
                <c:ptCount val="2"/>
                <c:pt idx="0">
                  <c:v>Dinner</c:v>
                </c:pt>
                <c:pt idx="1">
                  <c:v>Lunch</c:v>
                </c:pt>
              </c:strCache>
            </c:strRef>
          </c:cat>
          <c:val>
            <c:numRef>
              <c:f>'working file'!$L$3:$L$5</c:f>
              <c:numCache>
                <c:formatCode>General</c:formatCode>
                <c:ptCount val="2"/>
                <c:pt idx="0">
                  <c:v>156.10999999999999</c:v>
                </c:pt>
                <c:pt idx="1">
                  <c:v>88.40000000000002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D07-4012-B918-A151D28981C2}"/>
            </c:ext>
          </c:extLst>
        </c:ser>
        <c:ser>
          <c:idx val="1"/>
          <c:order val="1"/>
          <c:tx>
            <c:strRef>
              <c:f>'working file'!$M$1:$M$2</c:f>
              <c:strCache>
                <c:ptCount val="1"/>
                <c:pt idx="0">
                  <c:v>Male</c:v>
                </c:pt>
              </c:strCache>
            </c:strRef>
          </c:tx>
          <c:spPr>
            <a:solidFill>
              <a:schemeClr val="accent6">
                <a:lumMod val="50000"/>
              </a:schemeClr>
            </a:solidFill>
            <a:ln>
              <a:solidFill>
                <a:schemeClr val="bg1"/>
              </a:solidFill>
            </a:ln>
            <a:effectLst/>
          </c:spPr>
          <c:invertIfNegative val="0"/>
          <c:cat>
            <c:strRef>
              <c:f>'working file'!$K$3:$K$5</c:f>
              <c:strCache>
                <c:ptCount val="2"/>
                <c:pt idx="0">
                  <c:v>Dinner</c:v>
                </c:pt>
                <c:pt idx="1">
                  <c:v>Lunch</c:v>
                </c:pt>
              </c:strCache>
            </c:strRef>
          </c:cat>
          <c:val>
            <c:numRef>
              <c:f>'working file'!$M$3:$M$5</c:f>
              <c:numCache>
                <c:formatCode>General</c:formatCode>
                <c:ptCount val="2"/>
                <c:pt idx="0">
                  <c:v>389.96000000000004</c:v>
                </c:pt>
                <c:pt idx="1">
                  <c:v>95.11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D07-4012-B918-A151D28981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592802879"/>
        <c:axId val="1303539167"/>
      </c:barChart>
      <c:catAx>
        <c:axId val="159280287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303539167"/>
        <c:crosses val="autoZero"/>
        <c:auto val="1"/>
        <c:lblAlgn val="ctr"/>
        <c:lblOffset val="100"/>
        <c:noMultiLvlLbl val="0"/>
      </c:catAx>
      <c:valAx>
        <c:axId val="13035391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28028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accent6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5.png"/><Relationship Id="rId3" Type="http://schemas.openxmlformats.org/officeDocument/2006/relationships/chart" Target="../charts/chart6.xml"/><Relationship Id="rId7" Type="http://schemas.openxmlformats.org/officeDocument/2006/relationships/image" Target="../media/image4.svg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6" Type="http://schemas.openxmlformats.org/officeDocument/2006/relationships/image" Target="../media/image3.png"/><Relationship Id="rId5" Type="http://schemas.openxmlformats.org/officeDocument/2006/relationships/image" Target="../media/image2.svg"/><Relationship Id="rId10" Type="http://schemas.openxmlformats.org/officeDocument/2006/relationships/chart" Target="../charts/chart7.xml"/><Relationship Id="rId4" Type="http://schemas.openxmlformats.org/officeDocument/2006/relationships/image" Target="../media/image1.png"/><Relationship Id="rId9" Type="http://schemas.openxmlformats.org/officeDocument/2006/relationships/image" Target="../media/image6.sv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7620</xdr:colOff>
      <xdr:row>0</xdr:row>
      <xdr:rowOff>19050</xdr:rowOff>
    </xdr:from>
    <xdr:to>
      <xdr:col>23</xdr:col>
      <xdr:colOff>533400</xdr:colOff>
      <xdr:row>13</xdr:row>
      <xdr:rowOff>144780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C72CBA27-EFF4-9EBD-7CD4-5D25A9ED141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30480</xdr:colOff>
      <xdr:row>11</xdr:row>
      <xdr:rowOff>41910</xdr:rowOff>
    </xdr:from>
    <xdr:to>
      <xdr:col>7</xdr:col>
      <xdr:colOff>259080</xdr:colOff>
      <xdr:row>23</xdr:row>
      <xdr:rowOff>121920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360CE1BC-856C-E112-5731-B453581A81B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76200</xdr:colOff>
      <xdr:row>5</xdr:row>
      <xdr:rowOff>34290</xdr:rowOff>
    </xdr:from>
    <xdr:to>
      <xdr:col>14</xdr:col>
      <xdr:colOff>236220</xdr:colOff>
      <xdr:row>19</xdr:row>
      <xdr:rowOff>179070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E249785F-16AE-320B-5F1F-B55C508A5CC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285750</xdr:colOff>
      <xdr:row>0</xdr:row>
      <xdr:rowOff>66676</xdr:rowOff>
    </xdr:from>
    <xdr:to>
      <xdr:col>17</xdr:col>
      <xdr:colOff>476250</xdr:colOff>
      <xdr:row>33</xdr:row>
      <xdr:rowOff>161925</xdr:rowOff>
    </xdr:to>
    <xdr:sp macro="" textlink="">
      <xdr:nvSpPr>
        <xdr:cNvPr id="19" name="Rectangle: Rounded Corners 18">
          <a:extLst>
            <a:ext uri="{FF2B5EF4-FFF2-40B4-BE49-F238E27FC236}">
              <a16:creationId xmlns:a16="http://schemas.microsoft.com/office/drawing/2014/main" id="{12DEA464-B978-3CB3-538A-D0D20128E55D}"/>
            </a:ext>
          </a:extLst>
        </xdr:cNvPr>
        <xdr:cNvSpPr/>
      </xdr:nvSpPr>
      <xdr:spPr>
        <a:xfrm>
          <a:off x="1504950" y="66676"/>
          <a:ext cx="9334500" cy="6067424"/>
        </a:xfrm>
        <a:prstGeom prst="roundRect">
          <a:avLst/>
        </a:prstGeom>
        <a:solidFill>
          <a:schemeClr val="bg1"/>
        </a:solidFill>
        <a:ln w="28575">
          <a:solidFill>
            <a:schemeClr val="accent6">
              <a:lumMod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579120</xdr:colOff>
      <xdr:row>7</xdr:row>
      <xdr:rowOff>160020</xdr:rowOff>
    </xdr:from>
    <xdr:to>
      <xdr:col>9</xdr:col>
      <xdr:colOff>464820</xdr:colOff>
      <xdr:row>19</xdr:row>
      <xdr:rowOff>53340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1D33FDB-46F6-4430-9953-EF5A38A665B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297180</xdr:colOff>
      <xdr:row>20</xdr:row>
      <xdr:rowOff>144780</xdr:rowOff>
    </xdr:from>
    <xdr:to>
      <xdr:col>16</xdr:col>
      <xdr:colOff>213360</xdr:colOff>
      <xdr:row>32</xdr:row>
      <xdr:rowOff>19050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9051E93-07B1-4355-B2C4-46E18702CA9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571500</xdr:colOff>
      <xdr:row>20</xdr:row>
      <xdr:rowOff>160020</xdr:rowOff>
    </xdr:from>
    <xdr:to>
      <xdr:col>9</xdr:col>
      <xdr:colOff>472440</xdr:colOff>
      <xdr:row>32</xdr:row>
      <xdr:rowOff>22860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A9C4623-1B58-4EC9-B61D-EF1386CFBCB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525780</xdr:colOff>
      <xdr:row>1</xdr:row>
      <xdr:rowOff>152400</xdr:rowOff>
    </xdr:from>
    <xdr:to>
      <xdr:col>14</xdr:col>
      <xdr:colOff>236220</xdr:colOff>
      <xdr:row>6</xdr:row>
      <xdr:rowOff>53340</xdr:rowOff>
    </xdr:to>
    <xdr:grpSp>
      <xdr:nvGrpSpPr>
        <xdr:cNvPr id="18" name="Group 17">
          <a:extLst>
            <a:ext uri="{FF2B5EF4-FFF2-40B4-BE49-F238E27FC236}">
              <a16:creationId xmlns:a16="http://schemas.microsoft.com/office/drawing/2014/main" id="{6C0F481D-8E3B-790C-DB2E-FD7FC2589753}"/>
            </a:ext>
          </a:extLst>
        </xdr:cNvPr>
        <xdr:cNvGrpSpPr/>
      </xdr:nvGrpSpPr>
      <xdr:grpSpPr>
        <a:xfrm>
          <a:off x="7231380" y="333375"/>
          <a:ext cx="1539240" cy="805815"/>
          <a:chOff x="4076700" y="243840"/>
          <a:chExt cx="1539240" cy="815340"/>
        </a:xfrm>
      </xdr:grpSpPr>
      <xdr:sp macro="" textlink="'working file'!A29">
        <xdr:nvSpPr>
          <xdr:cNvPr id="10" name="TextBox 9">
            <a:extLst>
              <a:ext uri="{FF2B5EF4-FFF2-40B4-BE49-F238E27FC236}">
                <a16:creationId xmlns:a16="http://schemas.microsoft.com/office/drawing/2014/main" id="{476207CC-B4E6-4924-B49B-3145C7624E67}"/>
              </a:ext>
            </a:extLst>
          </xdr:cNvPr>
          <xdr:cNvSpPr txBox="1"/>
        </xdr:nvSpPr>
        <xdr:spPr>
          <a:xfrm>
            <a:off x="4076700" y="243840"/>
            <a:ext cx="1539240" cy="815340"/>
          </a:xfrm>
          <a:prstGeom prst="rect">
            <a:avLst/>
          </a:prstGeom>
          <a:solidFill>
            <a:schemeClr val="accent6">
              <a:lumMod val="50000"/>
            </a:schemeClr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fld id="{C3E83FE0-7128-4A09-9937-415DBC20EFBE}" type="TxLink">
              <a:rPr lang="en-US" sz="1400" b="1" i="0" u="none" strike="noStrike">
                <a:solidFill>
                  <a:schemeClr val="bg1"/>
                </a:solidFill>
                <a:latin typeface="Times New Roman" panose="02020603050405020304" pitchFamily="18" charset="0"/>
                <a:ea typeface="Calibri"/>
                <a:cs typeface="Times New Roman" panose="02020603050405020304" pitchFamily="18" charset="0"/>
              </a:rPr>
              <a:pPr algn="ctr"/>
              <a:t> $3 </a:t>
            </a:fld>
            <a:endParaRPr lang="en-US" sz="1400" b="1" i="0" u="none" strike="noStrike">
              <a:solidFill>
                <a:schemeClr val="bg1"/>
              </a:solidFill>
              <a:latin typeface="Times New Roman" panose="02020603050405020304" pitchFamily="18" charset="0"/>
              <a:ea typeface="Calibri"/>
              <a:cs typeface="Times New Roman" panose="02020603050405020304" pitchFamily="18" charset="0"/>
            </a:endParaRPr>
          </a:p>
          <a:p>
            <a:pPr algn="ctr"/>
            <a:r>
              <a:rPr lang="en-US" sz="1000" b="0" i="0" u="none" strike="noStrike">
                <a:solidFill>
                  <a:schemeClr val="accent6">
                    <a:lumMod val="60000"/>
                    <a:lumOff val="40000"/>
                  </a:schemeClr>
                </a:solidFill>
                <a:latin typeface="Calibri"/>
                <a:ea typeface="Calibri"/>
                <a:cs typeface="Calibri"/>
              </a:rPr>
              <a:t>     Avg of Tip</a:t>
            </a:r>
            <a:endParaRPr lang="en-IN" sz="1000">
              <a:solidFill>
                <a:schemeClr val="accent6">
                  <a:lumMod val="60000"/>
                  <a:lumOff val="40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pic>
        <xdr:nvPicPr>
          <xdr:cNvPr id="8" name="Graphic 7" descr="Coins with solid fill">
            <a:extLst>
              <a:ext uri="{FF2B5EF4-FFF2-40B4-BE49-F238E27FC236}">
                <a16:creationId xmlns:a16="http://schemas.microsoft.com/office/drawing/2014/main" id="{164636EE-1539-D4E1-2BFF-AEC288A8D89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>
            <a:extLst>
              <a:ext uri="{96DAC541-7B7A-43D3-8B79-37D633B846F1}">
                <asvg:svgBlip xmlns:asvg="http://schemas.microsoft.com/office/drawing/2016/SVG/main" r:embed="rId5"/>
              </a:ext>
            </a:extLst>
          </a:blip>
          <a:stretch>
            <a:fillRect/>
          </a:stretch>
        </xdr:blipFill>
        <xdr:spPr>
          <a:xfrm>
            <a:off x="4381500" y="609600"/>
            <a:ext cx="281940" cy="350520"/>
          </a:xfrm>
          <a:prstGeom prst="rect">
            <a:avLst/>
          </a:prstGeom>
        </xdr:spPr>
      </xdr:pic>
    </xdr:grpSp>
    <xdr:clientData/>
  </xdr:twoCellAnchor>
  <xdr:twoCellAnchor>
    <xdr:from>
      <xdr:col>8</xdr:col>
      <xdr:colOff>510540</xdr:colOff>
      <xdr:row>1</xdr:row>
      <xdr:rowOff>152400</xdr:rowOff>
    </xdr:from>
    <xdr:to>
      <xdr:col>11</xdr:col>
      <xdr:colOff>220980</xdr:colOff>
      <xdr:row>6</xdr:row>
      <xdr:rowOff>53340</xdr:rowOff>
    </xdr:to>
    <xdr:grpSp>
      <xdr:nvGrpSpPr>
        <xdr:cNvPr id="17" name="Group 16">
          <a:extLst>
            <a:ext uri="{FF2B5EF4-FFF2-40B4-BE49-F238E27FC236}">
              <a16:creationId xmlns:a16="http://schemas.microsoft.com/office/drawing/2014/main" id="{5520B85D-72E0-7A38-4807-64100FA9643C}"/>
            </a:ext>
          </a:extLst>
        </xdr:cNvPr>
        <xdr:cNvGrpSpPr/>
      </xdr:nvGrpSpPr>
      <xdr:grpSpPr>
        <a:xfrm>
          <a:off x="5387340" y="333375"/>
          <a:ext cx="1539240" cy="805815"/>
          <a:chOff x="2255520" y="251460"/>
          <a:chExt cx="1539240" cy="815340"/>
        </a:xfrm>
      </xdr:grpSpPr>
      <xdr:sp macro="" textlink="'working file'!A25">
        <xdr:nvSpPr>
          <xdr:cNvPr id="9" name="TextBox 8">
            <a:extLst>
              <a:ext uri="{FF2B5EF4-FFF2-40B4-BE49-F238E27FC236}">
                <a16:creationId xmlns:a16="http://schemas.microsoft.com/office/drawing/2014/main" id="{C8B51E4E-0CBE-4C4F-B358-181376E26ADD}"/>
              </a:ext>
            </a:extLst>
          </xdr:cNvPr>
          <xdr:cNvSpPr txBox="1"/>
        </xdr:nvSpPr>
        <xdr:spPr>
          <a:xfrm>
            <a:off x="2255520" y="251460"/>
            <a:ext cx="1539240" cy="815340"/>
          </a:xfrm>
          <a:prstGeom prst="rect">
            <a:avLst/>
          </a:prstGeom>
          <a:solidFill>
            <a:schemeClr val="accent6">
              <a:lumMod val="50000"/>
            </a:schemeClr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fld id="{17582204-C8C1-4A67-9F9F-D7415B4AD111}" type="TxLink">
              <a:rPr lang="en-US" sz="1400" b="0" i="0" u="none" strike="noStrike">
                <a:solidFill>
                  <a:schemeClr val="bg1"/>
                </a:solidFill>
                <a:latin typeface="Times New Roman" panose="02020603050405020304" pitchFamily="18" charset="0"/>
                <a:ea typeface="Calibri"/>
                <a:cs typeface="Times New Roman" panose="02020603050405020304" pitchFamily="18" charset="0"/>
              </a:rPr>
              <a:pPr algn="ctr"/>
              <a:t> $20 </a:t>
            </a:fld>
            <a:endParaRPr lang="en-US" sz="1400" b="0" i="0" u="none" strike="noStrike">
              <a:solidFill>
                <a:schemeClr val="bg1"/>
              </a:solidFill>
              <a:latin typeface="Times New Roman" panose="02020603050405020304" pitchFamily="18" charset="0"/>
              <a:ea typeface="Calibri"/>
              <a:cs typeface="Times New Roman" panose="02020603050405020304" pitchFamily="18" charset="0"/>
            </a:endParaRPr>
          </a:p>
          <a:p>
            <a:pPr algn="ctr"/>
            <a:r>
              <a:rPr lang="en-US" sz="1000" b="0" i="0" u="none" strike="noStrike">
                <a:solidFill>
                  <a:schemeClr val="accent6">
                    <a:lumMod val="60000"/>
                    <a:lumOff val="40000"/>
                  </a:schemeClr>
                </a:solidFill>
                <a:latin typeface="Times New Roman" panose="02020603050405020304" pitchFamily="18" charset="0"/>
                <a:ea typeface="Calibri"/>
                <a:cs typeface="Times New Roman" panose="02020603050405020304" pitchFamily="18" charset="0"/>
              </a:rPr>
              <a:t>          Avg of Total bill</a:t>
            </a:r>
            <a:endParaRPr lang="en-IN" sz="1000">
              <a:solidFill>
                <a:schemeClr val="accent6">
                  <a:lumMod val="60000"/>
                  <a:lumOff val="40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pic>
        <xdr:nvPicPr>
          <xdr:cNvPr id="12" name="Graphic 11" descr="List with solid fill">
            <a:extLst>
              <a:ext uri="{FF2B5EF4-FFF2-40B4-BE49-F238E27FC236}">
                <a16:creationId xmlns:a16="http://schemas.microsoft.com/office/drawing/2014/main" id="{ED929DED-094D-6F65-9D4E-6E208859917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>
            <a:extLst>
              <a:ext uri="{96DAC541-7B7A-43D3-8B79-37D633B846F1}">
                <asvg:svgBlip xmlns:asvg="http://schemas.microsoft.com/office/drawing/2016/SVG/main" r:embed="rId7"/>
              </a:ext>
            </a:extLst>
          </a:blip>
          <a:stretch>
            <a:fillRect/>
          </a:stretch>
        </xdr:blipFill>
        <xdr:spPr>
          <a:xfrm>
            <a:off x="2476500" y="632460"/>
            <a:ext cx="297180" cy="304800"/>
          </a:xfrm>
          <a:prstGeom prst="rect">
            <a:avLst/>
          </a:prstGeom>
        </xdr:spPr>
      </xdr:pic>
    </xdr:grpSp>
    <xdr:clientData/>
  </xdr:twoCellAnchor>
  <xdr:twoCellAnchor>
    <xdr:from>
      <xdr:col>5</xdr:col>
      <xdr:colOff>525780</xdr:colOff>
      <xdr:row>1</xdr:row>
      <xdr:rowOff>167640</xdr:rowOff>
    </xdr:from>
    <xdr:to>
      <xdr:col>8</xdr:col>
      <xdr:colOff>236220</xdr:colOff>
      <xdr:row>6</xdr:row>
      <xdr:rowOff>68580</xdr:rowOff>
    </xdr:to>
    <xdr:grpSp>
      <xdr:nvGrpSpPr>
        <xdr:cNvPr id="16" name="Group 15">
          <a:extLst>
            <a:ext uri="{FF2B5EF4-FFF2-40B4-BE49-F238E27FC236}">
              <a16:creationId xmlns:a16="http://schemas.microsoft.com/office/drawing/2014/main" id="{BF38E697-1059-8347-C36E-CCDFE47D57DF}"/>
            </a:ext>
          </a:extLst>
        </xdr:cNvPr>
        <xdr:cNvGrpSpPr/>
      </xdr:nvGrpSpPr>
      <xdr:grpSpPr>
        <a:xfrm>
          <a:off x="3573780" y="348615"/>
          <a:ext cx="1539240" cy="805815"/>
          <a:chOff x="525780" y="243840"/>
          <a:chExt cx="1539240" cy="815340"/>
        </a:xfrm>
      </xdr:grpSpPr>
      <xdr:sp macro="" textlink="tips_table!A246">
        <xdr:nvSpPr>
          <xdr:cNvPr id="6" name="TextBox 5">
            <a:extLst>
              <a:ext uri="{FF2B5EF4-FFF2-40B4-BE49-F238E27FC236}">
                <a16:creationId xmlns:a16="http://schemas.microsoft.com/office/drawing/2014/main" id="{8A0EA51D-FB1E-C148-7B6E-4EA7B9028E88}"/>
              </a:ext>
            </a:extLst>
          </xdr:cNvPr>
          <xdr:cNvSpPr txBox="1"/>
        </xdr:nvSpPr>
        <xdr:spPr>
          <a:xfrm>
            <a:off x="525780" y="243840"/>
            <a:ext cx="1539240" cy="815340"/>
          </a:xfrm>
          <a:prstGeom prst="rect">
            <a:avLst/>
          </a:prstGeom>
          <a:solidFill>
            <a:schemeClr val="accent6">
              <a:lumMod val="50000"/>
            </a:schemeClr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fld id="{5D797A65-E6B7-4DF0-9140-8F8D44ABC2CA}" type="TxLink">
              <a:rPr lang="en-US" sz="1400" b="1" i="0" u="none" strike="noStrike">
                <a:solidFill>
                  <a:schemeClr val="bg1"/>
                </a:solidFill>
                <a:latin typeface="Times New Roman" panose="02020603050405020304" pitchFamily="18" charset="0"/>
                <a:ea typeface="Calibri"/>
                <a:cs typeface="Times New Roman" panose="02020603050405020304" pitchFamily="18" charset="0"/>
              </a:rPr>
              <a:pPr algn="ctr"/>
              <a:t>243</a:t>
            </a:fld>
            <a:endParaRPr lang="en-US" sz="1400" b="1" i="0" u="none" strike="noStrike">
              <a:solidFill>
                <a:schemeClr val="bg1"/>
              </a:solidFill>
              <a:latin typeface="Times New Roman" panose="02020603050405020304" pitchFamily="18" charset="0"/>
              <a:ea typeface="Calibri"/>
              <a:cs typeface="Times New Roman" panose="02020603050405020304" pitchFamily="18" charset="0"/>
            </a:endParaRPr>
          </a:p>
          <a:p>
            <a:pPr algn="ctr"/>
            <a:r>
              <a:rPr lang="en-IN" sz="1000">
                <a:solidFill>
                  <a:schemeClr val="accent6">
                    <a:lumMod val="60000"/>
                    <a:lumOff val="40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        Total Customers</a:t>
            </a:r>
            <a:endParaRPr lang="en-IN" sz="1000" b="1">
              <a:solidFill>
                <a:schemeClr val="accent6">
                  <a:lumMod val="60000"/>
                  <a:lumOff val="40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pic>
        <xdr:nvPicPr>
          <xdr:cNvPr id="14" name="Graphic 13" descr="Group of women with solid fill">
            <a:extLst>
              <a:ext uri="{FF2B5EF4-FFF2-40B4-BE49-F238E27FC236}">
                <a16:creationId xmlns:a16="http://schemas.microsoft.com/office/drawing/2014/main" id="{E28D3489-79FC-B069-A552-1230DD838765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>
            <a:extLst>
              <a:ext uri="{96DAC541-7B7A-43D3-8B79-37D633B846F1}">
                <asvg:svgBlip xmlns:asvg="http://schemas.microsoft.com/office/drawing/2016/SVG/main" r:embed="rId9"/>
              </a:ext>
            </a:extLst>
          </a:blip>
          <a:stretch>
            <a:fillRect/>
          </a:stretch>
        </xdr:blipFill>
        <xdr:spPr>
          <a:xfrm>
            <a:off x="693420" y="609600"/>
            <a:ext cx="320040" cy="320040"/>
          </a:xfrm>
          <a:prstGeom prst="rect">
            <a:avLst/>
          </a:prstGeom>
        </xdr:spPr>
      </xdr:pic>
    </xdr:grpSp>
    <xdr:clientData/>
  </xdr:twoCellAnchor>
  <xdr:twoCellAnchor>
    <xdr:from>
      <xdr:col>10</xdr:col>
      <xdr:colOff>281940</xdr:colOff>
      <xdr:row>7</xdr:row>
      <xdr:rowOff>160020</xdr:rowOff>
    </xdr:from>
    <xdr:to>
      <xdr:col>16</xdr:col>
      <xdr:colOff>190500</xdr:colOff>
      <xdr:row>19</xdr:row>
      <xdr:rowOff>38100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73AAF8C9-BE22-4586-A93E-91B4A22EE47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ooja " refreshedDate="45980.525383564818" createdVersion="8" refreshedVersion="8" minRefreshableVersion="3" recordCount="243" xr:uid="{444531A2-BEA1-4D59-8F9D-4F4C693F77A4}">
  <cacheSource type="worksheet">
    <worksheetSource ref="A1:G244" sheet="tips_table"/>
  </cacheSource>
  <cacheFields count="7">
    <cacheField name="sex" numFmtId="0">
      <sharedItems count="2">
        <s v="Female"/>
        <s v="Male"/>
      </sharedItems>
    </cacheField>
    <cacheField name="smoker" numFmtId="0">
      <sharedItems/>
    </cacheField>
    <cacheField name="day" numFmtId="0">
      <sharedItems count="4">
        <s v="Sun"/>
        <s v="Sat"/>
        <s v="Thur"/>
        <s v="Fri"/>
      </sharedItems>
    </cacheField>
    <cacheField name="time" numFmtId="0">
      <sharedItems count="2">
        <s v="Dinner"/>
        <s v="Lunch"/>
      </sharedItems>
    </cacheField>
    <cacheField name="size" numFmtId="0">
      <sharedItems containsSemiMixedTypes="0" containsString="0" containsNumber="1" containsInteger="1" minValue="1" maxValue="6"/>
    </cacheField>
    <cacheField name="total_bill" numFmtId="164">
      <sharedItems containsSemiMixedTypes="0" containsString="0" containsNumber="1" minValue="3.07" maxValue="50.81"/>
    </cacheField>
    <cacheField name="tip" numFmtId="164">
      <sharedItems containsSemiMixedTypes="0" containsString="0" containsNumber="1" minValue="1" maxValue="10"/>
    </cacheField>
  </cacheFields>
  <extLst>
    <ext xmlns:x14="http://schemas.microsoft.com/office/spreadsheetml/2009/9/main" uri="{725AE2AE-9491-48be-B2B4-4EB974FC3084}">
      <x14:pivotCacheDefinition pivotCacheId="191029316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3">
  <r>
    <x v="0"/>
    <s v="No"/>
    <x v="0"/>
    <x v="0"/>
    <n v="2"/>
    <n v="16.989999999999998"/>
    <n v="1.01"/>
  </r>
  <r>
    <x v="1"/>
    <s v="No"/>
    <x v="0"/>
    <x v="0"/>
    <n v="3"/>
    <n v="10.34"/>
    <n v="1.66"/>
  </r>
  <r>
    <x v="1"/>
    <s v="No"/>
    <x v="0"/>
    <x v="0"/>
    <n v="3"/>
    <n v="21.01"/>
    <n v="3.5"/>
  </r>
  <r>
    <x v="1"/>
    <s v="No"/>
    <x v="0"/>
    <x v="0"/>
    <n v="2"/>
    <n v="23.68"/>
    <n v="3.31"/>
  </r>
  <r>
    <x v="0"/>
    <s v="No"/>
    <x v="0"/>
    <x v="0"/>
    <n v="4"/>
    <n v="24.59"/>
    <n v="3.61"/>
  </r>
  <r>
    <x v="1"/>
    <s v="No"/>
    <x v="0"/>
    <x v="0"/>
    <n v="4"/>
    <n v="25.29"/>
    <n v="4.71"/>
  </r>
  <r>
    <x v="1"/>
    <s v="No"/>
    <x v="0"/>
    <x v="0"/>
    <n v="2"/>
    <n v="8.77"/>
    <n v="2"/>
  </r>
  <r>
    <x v="1"/>
    <s v="No"/>
    <x v="0"/>
    <x v="0"/>
    <n v="4"/>
    <n v="26.88"/>
    <n v="3.12"/>
  </r>
  <r>
    <x v="1"/>
    <s v="No"/>
    <x v="0"/>
    <x v="0"/>
    <n v="2"/>
    <n v="15.04"/>
    <n v="1.96"/>
  </r>
  <r>
    <x v="1"/>
    <s v="No"/>
    <x v="0"/>
    <x v="0"/>
    <n v="2"/>
    <n v="14.78"/>
    <n v="3.23"/>
  </r>
  <r>
    <x v="1"/>
    <s v="No"/>
    <x v="0"/>
    <x v="0"/>
    <n v="2"/>
    <n v="10.27"/>
    <n v="1.71"/>
  </r>
  <r>
    <x v="0"/>
    <s v="No"/>
    <x v="0"/>
    <x v="0"/>
    <n v="4"/>
    <n v="35.26"/>
    <n v="5"/>
  </r>
  <r>
    <x v="1"/>
    <s v="No"/>
    <x v="0"/>
    <x v="0"/>
    <n v="2"/>
    <n v="15.42"/>
    <n v="1.57"/>
  </r>
  <r>
    <x v="1"/>
    <s v="No"/>
    <x v="0"/>
    <x v="0"/>
    <n v="4"/>
    <n v="18.43"/>
    <n v="3"/>
  </r>
  <r>
    <x v="0"/>
    <s v="No"/>
    <x v="0"/>
    <x v="0"/>
    <n v="2"/>
    <n v="14.83"/>
    <n v="3.02"/>
  </r>
  <r>
    <x v="1"/>
    <s v="No"/>
    <x v="0"/>
    <x v="0"/>
    <n v="2"/>
    <n v="21.58"/>
    <n v="3.92"/>
  </r>
  <r>
    <x v="0"/>
    <s v="No"/>
    <x v="0"/>
    <x v="0"/>
    <n v="3"/>
    <n v="10.33"/>
    <n v="1.67"/>
  </r>
  <r>
    <x v="1"/>
    <s v="No"/>
    <x v="0"/>
    <x v="0"/>
    <n v="3"/>
    <n v="16.29"/>
    <n v="3.71"/>
  </r>
  <r>
    <x v="0"/>
    <s v="No"/>
    <x v="0"/>
    <x v="0"/>
    <n v="3"/>
    <n v="16.97"/>
    <n v="3.5"/>
  </r>
  <r>
    <x v="1"/>
    <s v="No"/>
    <x v="1"/>
    <x v="0"/>
    <n v="3"/>
    <n v="20.65"/>
    <n v="3.35"/>
  </r>
  <r>
    <x v="1"/>
    <s v="No"/>
    <x v="1"/>
    <x v="0"/>
    <n v="2"/>
    <n v="17.920000000000002"/>
    <n v="4.08"/>
  </r>
  <r>
    <x v="0"/>
    <s v="No"/>
    <x v="1"/>
    <x v="0"/>
    <n v="2"/>
    <n v="20.29"/>
    <n v="2.75"/>
  </r>
  <r>
    <x v="0"/>
    <s v="No"/>
    <x v="1"/>
    <x v="0"/>
    <n v="2"/>
    <n v="15.77"/>
    <n v="2.23"/>
  </r>
  <r>
    <x v="1"/>
    <s v="No"/>
    <x v="1"/>
    <x v="0"/>
    <n v="4"/>
    <n v="39.42"/>
    <n v="7.58"/>
  </r>
  <r>
    <x v="1"/>
    <s v="No"/>
    <x v="1"/>
    <x v="0"/>
    <n v="2"/>
    <n v="19.82"/>
    <n v="3.18"/>
  </r>
  <r>
    <x v="1"/>
    <s v="No"/>
    <x v="1"/>
    <x v="0"/>
    <n v="4"/>
    <n v="17.809999999999999"/>
    <n v="2.34"/>
  </r>
  <r>
    <x v="1"/>
    <s v="No"/>
    <x v="1"/>
    <x v="0"/>
    <n v="2"/>
    <n v="13.37"/>
    <n v="2"/>
  </r>
  <r>
    <x v="1"/>
    <s v="No"/>
    <x v="1"/>
    <x v="0"/>
    <n v="2"/>
    <n v="12.69"/>
    <n v="2"/>
  </r>
  <r>
    <x v="1"/>
    <s v="No"/>
    <x v="1"/>
    <x v="0"/>
    <n v="2"/>
    <n v="21.7"/>
    <n v="4.3"/>
  </r>
  <r>
    <x v="0"/>
    <s v="No"/>
    <x v="1"/>
    <x v="0"/>
    <n v="2"/>
    <n v="19.649999999999999"/>
    <n v="3"/>
  </r>
  <r>
    <x v="1"/>
    <s v="No"/>
    <x v="1"/>
    <x v="0"/>
    <n v="2"/>
    <n v="9.5500000000000007"/>
    <n v="1.45"/>
  </r>
  <r>
    <x v="1"/>
    <s v="No"/>
    <x v="1"/>
    <x v="0"/>
    <n v="4"/>
    <n v="18.350000000000001"/>
    <n v="2.5"/>
  </r>
  <r>
    <x v="0"/>
    <s v="No"/>
    <x v="1"/>
    <x v="0"/>
    <n v="2"/>
    <n v="15.06"/>
    <n v="3"/>
  </r>
  <r>
    <x v="0"/>
    <s v="No"/>
    <x v="1"/>
    <x v="0"/>
    <n v="4"/>
    <n v="20.69"/>
    <n v="2.4500000000000002"/>
  </r>
  <r>
    <x v="1"/>
    <s v="No"/>
    <x v="1"/>
    <x v="0"/>
    <n v="2"/>
    <n v="17.78"/>
    <n v="3.27"/>
  </r>
  <r>
    <x v="1"/>
    <s v="No"/>
    <x v="1"/>
    <x v="0"/>
    <n v="3"/>
    <n v="24.06"/>
    <n v="3.6"/>
  </r>
  <r>
    <x v="1"/>
    <s v="No"/>
    <x v="1"/>
    <x v="0"/>
    <n v="3"/>
    <n v="16.309999999999999"/>
    <n v="2"/>
  </r>
  <r>
    <x v="0"/>
    <s v="No"/>
    <x v="1"/>
    <x v="0"/>
    <n v="3"/>
    <n v="16.93"/>
    <n v="3.07"/>
  </r>
  <r>
    <x v="1"/>
    <s v="No"/>
    <x v="1"/>
    <x v="0"/>
    <n v="3"/>
    <n v="18.690000000000001"/>
    <n v="2.31"/>
  </r>
  <r>
    <x v="1"/>
    <s v="No"/>
    <x v="1"/>
    <x v="0"/>
    <n v="3"/>
    <n v="31.27"/>
    <n v="5"/>
  </r>
  <r>
    <x v="1"/>
    <s v="No"/>
    <x v="1"/>
    <x v="0"/>
    <n v="3"/>
    <n v="16.04"/>
    <n v="2.2400000000000002"/>
  </r>
  <r>
    <x v="1"/>
    <s v="No"/>
    <x v="0"/>
    <x v="0"/>
    <n v="2"/>
    <n v="17.46"/>
    <n v="2.54"/>
  </r>
  <r>
    <x v="1"/>
    <s v="No"/>
    <x v="0"/>
    <x v="0"/>
    <n v="2"/>
    <n v="13.94"/>
    <n v="3.06"/>
  </r>
  <r>
    <x v="1"/>
    <s v="No"/>
    <x v="0"/>
    <x v="0"/>
    <n v="2"/>
    <n v="9.68"/>
    <n v="1.32"/>
  </r>
  <r>
    <x v="1"/>
    <s v="No"/>
    <x v="0"/>
    <x v="0"/>
    <n v="4"/>
    <n v="30.4"/>
    <n v="5.6"/>
  </r>
  <r>
    <x v="1"/>
    <s v="No"/>
    <x v="0"/>
    <x v="0"/>
    <n v="2"/>
    <n v="18.29"/>
    <n v="3"/>
  </r>
  <r>
    <x v="1"/>
    <s v="No"/>
    <x v="0"/>
    <x v="0"/>
    <n v="2"/>
    <n v="22.23"/>
    <n v="5"/>
  </r>
  <r>
    <x v="1"/>
    <s v="No"/>
    <x v="0"/>
    <x v="0"/>
    <n v="4"/>
    <n v="32.4"/>
    <n v="6"/>
  </r>
  <r>
    <x v="1"/>
    <s v="No"/>
    <x v="0"/>
    <x v="0"/>
    <n v="3"/>
    <n v="28.55"/>
    <n v="2.0499999999999998"/>
  </r>
  <r>
    <x v="1"/>
    <s v="No"/>
    <x v="0"/>
    <x v="0"/>
    <n v="2"/>
    <n v="18.04"/>
    <n v="3"/>
  </r>
  <r>
    <x v="1"/>
    <s v="No"/>
    <x v="0"/>
    <x v="0"/>
    <n v="2"/>
    <n v="12.54"/>
    <n v="2.5"/>
  </r>
  <r>
    <x v="0"/>
    <s v="No"/>
    <x v="0"/>
    <x v="0"/>
    <n v="2"/>
    <n v="10.29"/>
    <n v="2.6"/>
  </r>
  <r>
    <x v="0"/>
    <s v="No"/>
    <x v="0"/>
    <x v="0"/>
    <n v="4"/>
    <n v="34.81"/>
    <n v="5.2"/>
  </r>
  <r>
    <x v="1"/>
    <s v="No"/>
    <x v="0"/>
    <x v="0"/>
    <n v="2"/>
    <n v="9.94"/>
    <n v="1.56"/>
  </r>
  <r>
    <x v="1"/>
    <s v="No"/>
    <x v="0"/>
    <x v="0"/>
    <n v="4"/>
    <n v="25.56"/>
    <n v="4.34"/>
  </r>
  <r>
    <x v="1"/>
    <s v="No"/>
    <x v="0"/>
    <x v="0"/>
    <n v="2"/>
    <n v="19.489999999999998"/>
    <n v="3.51"/>
  </r>
  <r>
    <x v="1"/>
    <s v="Yes"/>
    <x v="1"/>
    <x v="0"/>
    <n v="4"/>
    <n v="38.01"/>
    <n v="3"/>
  </r>
  <r>
    <x v="0"/>
    <s v="No"/>
    <x v="1"/>
    <x v="0"/>
    <n v="2"/>
    <n v="26.41"/>
    <n v="1.5"/>
  </r>
  <r>
    <x v="1"/>
    <s v="Yes"/>
    <x v="1"/>
    <x v="0"/>
    <n v="2"/>
    <n v="11.24"/>
    <n v="1.76"/>
  </r>
  <r>
    <x v="1"/>
    <s v="No"/>
    <x v="1"/>
    <x v="0"/>
    <n v="4"/>
    <n v="48.27"/>
    <n v="6.73"/>
  </r>
  <r>
    <x v="1"/>
    <s v="Yes"/>
    <x v="1"/>
    <x v="0"/>
    <n v="2"/>
    <n v="20.29"/>
    <n v="3.21"/>
  </r>
  <r>
    <x v="1"/>
    <s v="Yes"/>
    <x v="1"/>
    <x v="0"/>
    <n v="2"/>
    <n v="13.81"/>
    <n v="2"/>
  </r>
  <r>
    <x v="1"/>
    <s v="Yes"/>
    <x v="1"/>
    <x v="0"/>
    <n v="2"/>
    <n v="11.02"/>
    <n v="1.98"/>
  </r>
  <r>
    <x v="1"/>
    <s v="Yes"/>
    <x v="1"/>
    <x v="0"/>
    <n v="4"/>
    <n v="18.29"/>
    <n v="3.76"/>
  </r>
  <r>
    <x v="1"/>
    <s v="No"/>
    <x v="1"/>
    <x v="0"/>
    <n v="3"/>
    <n v="17.59"/>
    <n v="2.64"/>
  </r>
  <r>
    <x v="1"/>
    <s v="No"/>
    <x v="1"/>
    <x v="0"/>
    <n v="3"/>
    <n v="20.079999999999998"/>
    <n v="3.15"/>
  </r>
  <r>
    <x v="0"/>
    <s v="No"/>
    <x v="1"/>
    <x v="0"/>
    <n v="2"/>
    <n v="16.45"/>
    <n v="2.4700000000000002"/>
  </r>
  <r>
    <x v="0"/>
    <s v="Yes"/>
    <x v="1"/>
    <x v="0"/>
    <n v="1"/>
    <n v="3.07"/>
    <n v="1"/>
  </r>
  <r>
    <x v="1"/>
    <s v="No"/>
    <x v="1"/>
    <x v="0"/>
    <n v="2"/>
    <n v="20.23"/>
    <n v="2.0099999999999998"/>
  </r>
  <r>
    <x v="1"/>
    <s v="Yes"/>
    <x v="1"/>
    <x v="0"/>
    <n v="2"/>
    <n v="15.01"/>
    <n v="2.09"/>
  </r>
  <r>
    <x v="1"/>
    <s v="No"/>
    <x v="1"/>
    <x v="0"/>
    <n v="2"/>
    <n v="12.02"/>
    <n v="1.97"/>
  </r>
  <r>
    <x v="0"/>
    <s v="No"/>
    <x v="1"/>
    <x v="0"/>
    <n v="3"/>
    <n v="17.07"/>
    <n v="3"/>
  </r>
  <r>
    <x v="0"/>
    <s v="Yes"/>
    <x v="1"/>
    <x v="0"/>
    <n v="2"/>
    <n v="26.86"/>
    <n v="3.14"/>
  </r>
  <r>
    <x v="0"/>
    <s v="Yes"/>
    <x v="1"/>
    <x v="0"/>
    <n v="2"/>
    <n v="25.28"/>
    <n v="5"/>
  </r>
  <r>
    <x v="0"/>
    <s v="No"/>
    <x v="1"/>
    <x v="0"/>
    <n v="2"/>
    <n v="14.73"/>
    <n v="2.2000000000000002"/>
  </r>
  <r>
    <x v="1"/>
    <s v="No"/>
    <x v="1"/>
    <x v="0"/>
    <n v="2"/>
    <n v="10.51"/>
    <n v="1.25"/>
  </r>
  <r>
    <x v="1"/>
    <s v="Yes"/>
    <x v="1"/>
    <x v="0"/>
    <n v="2"/>
    <n v="17.920000000000002"/>
    <n v="3.08"/>
  </r>
  <r>
    <x v="1"/>
    <s v="No"/>
    <x v="2"/>
    <x v="1"/>
    <n v="4"/>
    <n v="27.2"/>
    <n v="4"/>
  </r>
  <r>
    <x v="1"/>
    <s v="No"/>
    <x v="2"/>
    <x v="1"/>
    <n v="2"/>
    <n v="22.76"/>
    <n v="3"/>
  </r>
  <r>
    <x v="1"/>
    <s v="No"/>
    <x v="2"/>
    <x v="1"/>
    <n v="2"/>
    <n v="17.29"/>
    <n v="2.71"/>
  </r>
  <r>
    <x v="1"/>
    <s v="Yes"/>
    <x v="2"/>
    <x v="1"/>
    <n v="2"/>
    <n v="19.440000000000001"/>
    <n v="3"/>
  </r>
  <r>
    <x v="1"/>
    <s v="No"/>
    <x v="2"/>
    <x v="1"/>
    <n v="2"/>
    <n v="16.66"/>
    <n v="3.4"/>
  </r>
  <r>
    <x v="0"/>
    <s v="No"/>
    <x v="2"/>
    <x v="1"/>
    <n v="1"/>
    <n v="10.07"/>
    <n v="1.83"/>
  </r>
  <r>
    <x v="1"/>
    <s v="Yes"/>
    <x v="2"/>
    <x v="1"/>
    <n v="2"/>
    <n v="32.68"/>
    <n v="5"/>
  </r>
  <r>
    <x v="1"/>
    <s v="No"/>
    <x v="2"/>
    <x v="1"/>
    <n v="2"/>
    <n v="15.98"/>
    <n v="2.0299999999999998"/>
  </r>
  <r>
    <x v="0"/>
    <s v="No"/>
    <x v="2"/>
    <x v="1"/>
    <n v="4"/>
    <n v="34.83"/>
    <n v="5.17"/>
  </r>
  <r>
    <x v="1"/>
    <s v="No"/>
    <x v="2"/>
    <x v="1"/>
    <n v="2"/>
    <n v="13.03"/>
    <n v="2"/>
  </r>
  <r>
    <x v="1"/>
    <s v="No"/>
    <x v="2"/>
    <x v="1"/>
    <n v="2"/>
    <n v="18.28"/>
    <n v="4"/>
  </r>
  <r>
    <x v="1"/>
    <s v="No"/>
    <x v="2"/>
    <x v="1"/>
    <n v="2"/>
    <n v="24.71"/>
    <n v="5.85"/>
  </r>
  <r>
    <x v="1"/>
    <s v="No"/>
    <x v="2"/>
    <x v="1"/>
    <n v="2"/>
    <n v="21.16"/>
    <n v="3"/>
  </r>
  <r>
    <x v="1"/>
    <s v="Yes"/>
    <x v="3"/>
    <x v="0"/>
    <n v="2"/>
    <n v="28.97"/>
    <n v="3"/>
  </r>
  <r>
    <x v="1"/>
    <s v="No"/>
    <x v="3"/>
    <x v="0"/>
    <n v="2"/>
    <n v="22.49"/>
    <n v="3.5"/>
  </r>
  <r>
    <x v="0"/>
    <s v="Yes"/>
    <x v="3"/>
    <x v="0"/>
    <n v="2"/>
    <n v="5.75"/>
    <n v="1"/>
  </r>
  <r>
    <x v="0"/>
    <s v="Yes"/>
    <x v="3"/>
    <x v="0"/>
    <n v="2"/>
    <n v="16.32"/>
    <n v="4.3"/>
  </r>
  <r>
    <x v="0"/>
    <s v="No"/>
    <x v="3"/>
    <x v="0"/>
    <n v="2"/>
    <n v="22.75"/>
    <n v="3.25"/>
  </r>
  <r>
    <x v="1"/>
    <s v="Yes"/>
    <x v="3"/>
    <x v="0"/>
    <n v="4"/>
    <n v="40.17"/>
    <n v="4.7300000000000004"/>
  </r>
  <r>
    <x v="1"/>
    <s v="Yes"/>
    <x v="3"/>
    <x v="0"/>
    <n v="2"/>
    <n v="27.28"/>
    <n v="4"/>
  </r>
  <r>
    <x v="1"/>
    <s v="Yes"/>
    <x v="3"/>
    <x v="0"/>
    <n v="2"/>
    <n v="12.03"/>
    <n v="1.5"/>
  </r>
  <r>
    <x v="1"/>
    <s v="Yes"/>
    <x v="3"/>
    <x v="0"/>
    <n v="2"/>
    <n v="21.01"/>
    <n v="3"/>
  </r>
  <r>
    <x v="1"/>
    <s v="No"/>
    <x v="3"/>
    <x v="0"/>
    <n v="2"/>
    <n v="12.46"/>
    <n v="1.5"/>
  </r>
  <r>
    <x v="0"/>
    <s v="Yes"/>
    <x v="3"/>
    <x v="0"/>
    <n v="2"/>
    <n v="11.35"/>
    <n v="2.5"/>
  </r>
  <r>
    <x v="0"/>
    <s v="Yes"/>
    <x v="3"/>
    <x v="0"/>
    <n v="2"/>
    <n v="15.38"/>
    <n v="3"/>
  </r>
  <r>
    <x v="0"/>
    <s v="Yes"/>
    <x v="1"/>
    <x v="0"/>
    <n v="3"/>
    <n v="44.3"/>
    <n v="2.5"/>
  </r>
  <r>
    <x v="0"/>
    <s v="Yes"/>
    <x v="1"/>
    <x v="0"/>
    <n v="2"/>
    <n v="22.42"/>
    <n v="3.48"/>
  </r>
  <r>
    <x v="0"/>
    <s v="No"/>
    <x v="1"/>
    <x v="0"/>
    <n v="2"/>
    <n v="20.92"/>
    <n v="4.08"/>
  </r>
  <r>
    <x v="1"/>
    <s v="Yes"/>
    <x v="1"/>
    <x v="0"/>
    <n v="2"/>
    <n v="15.36"/>
    <n v="1.64"/>
  </r>
  <r>
    <x v="1"/>
    <s v="Yes"/>
    <x v="1"/>
    <x v="0"/>
    <n v="2"/>
    <n v="20.49"/>
    <n v="4.0599999999999996"/>
  </r>
  <r>
    <x v="1"/>
    <s v="Yes"/>
    <x v="1"/>
    <x v="0"/>
    <n v="2"/>
    <n v="25.21"/>
    <n v="4.29"/>
  </r>
  <r>
    <x v="1"/>
    <s v="No"/>
    <x v="1"/>
    <x v="0"/>
    <n v="2"/>
    <n v="18.239999999999998"/>
    <n v="3.76"/>
  </r>
  <r>
    <x v="0"/>
    <s v="Yes"/>
    <x v="1"/>
    <x v="0"/>
    <n v="2"/>
    <n v="14.31"/>
    <n v="4"/>
  </r>
  <r>
    <x v="1"/>
    <s v="No"/>
    <x v="1"/>
    <x v="0"/>
    <n v="2"/>
    <n v="14"/>
    <n v="3"/>
  </r>
  <r>
    <x v="0"/>
    <s v="No"/>
    <x v="1"/>
    <x v="0"/>
    <n v="1"/>
    <n v="7.25"/>
    <n v="1"/>
  </r>
  <r>
    <x v="1"/>
    <s v="No"/>
    <x v="0"/>
    <x v="0"/>
    <n v="3"/>
    <n v="38.07"/>
    <n v="4"/>
  </r>
  <r>
    <x v="1"/>
    <s v="No"/>
    <x v="0"/>
    <x v="0"/>
    <n v="2"/>
    <n v="23.95"/>
    <n v="2.5499999999999998"/>
  </r>
  <r>
    <x v="0"/>
    <s v="No"/>
    <x v="0"/>
    <x v="0"/>
    <n v="3"/>
    <n v="25.71"/>
    <n v="4"/>
  </r>
  <r>
    <x v="0"/>
    <s v="No"/>
    <x v="0"/>
    <x v="0"/>
    <n v="2"/>
    <n v="17.309999999999999"/>
    <n v="3.5"/>
  </r>
  <r>
    <x v="1"/>
    <s v="No"/>
    <x v="0"/>
    <x v="0"/>
    <n v="4"/>
    <n v="29.93"/>
    <n v="5.07"/>
  </r>
  <r>
    <x v="0"/>
    <s v="No"/>
    <x v="2"/>
    <x v="1"/>
    <n v="2"/>
    <n v="10.65"/>
    <n v="1.5"/>
  </r>
  <r>
    <x v="0"/>
    <s v="No"/>
    <x v="2"/>
    <x v="1"/>
    <n v="2"/>
    <n v="12.43"/>
    <n v="1.8"/>
  </r>
  <r>
    <x v="0"/>
    <s v="No"/>
    <x v="2"/>
    <x v="1"/>
    <n v="4"/>
    <n v="24.08"/>
    <n v="2.92"/>
  </r>
  <r>
    <x v="1"/>
    <s v="No"/>
    <x v="2"/>
    <x v="1"/>
    <n v="2"/>
    <n v="11.69"/>
    <n v="2.31"/>
  </r>
  <r>
    <x v="0"/>
    <s v="No"/>
    <x v="2"/>
    <x v="1"/>
    <n v="2"/>
    <n v="13.42"/>
    <n v="1.68"/>
  </r>
  <r>
    <x v="1"/>
    <s v="No"/>
    <x v="2"/>
    <x v="1"/>
    <n v="2"/>
    <n v="14.26"/>
    <n v="2.5"/>
  </r>
  <r>
    <x v="1"/>
    <s v="No"/>
    <x v="2"/>
    <x v="1"/>
    <n v="2"/>
    <n v="15.95"/>
    <n v="2"/>
  </r>
  <r>
    <x v="0"/>
    <s v="No"/>
    <x v="2"/>
    <x v="1"/>
    <n v="2"/>
    <n v="12.48"/>
    <n v="2.52"/>
  </r>
  <r>
    <x v="0"/>
    <s v="No"/>
    <x v="2"/>
    <x v="1"/>
    <n v="6"/>
    <n v="29.8"/>
    <n v="4.2"/>
  </r>
  <r>
    <x v="1"/>
    <s v="No"/>
    <x v="2"/>
    <x v="1"/>
    <n v="2"/>
    <n v="8.52"/>
    <n v="1.48"/>
  </r>
  <r>
    <x v="0"/>
    <s v="No"/>
    <x v="2"/>
    <x v="1"/>
    <n v="2"/>
    <n v="14.52"/>
    <n v="2"/>
  </r>
  <r>
    <x v="0"/>
    <s v="No"/>
    <x v="2"/>
    <x v="1"/>
    <n v="2"/>
    <n v="11.38"/>
    <n v="2"/>
  </r>
  <r>
    <x v="1"/>
    <s v="No"/>
    <x v="2"/>
    <x v="1"/>
    <n v="3"/>
    <n v="22.82"/>
    <n v="2.1800000000000002"/>
  </r>
  <r>
    <x v="1"/>
    <s v="No"/>
    <x v="2"/>
    <x v="1"/>
    <n v="2"/>
    <n v="19.079999999999998"/>
    <n v="1.5"/>
  </r>
  <r>
    <x v="0"/>
    <s v="No"/>
    <x v="2"/>
    <x v="1"/>
    <n v="2"/>
    <n v="20.27"/>
    <n v="2.83"/>
  </r>
  <r>
    <x v="0"/>
    <s v="No"/>
    <x v="2"/>
    <x v="1"/>
    <n v="2"/>
    <n v="11.17"/>
    <n v="1.5"/>
  </r>
  <r>
    <x v="0"/>
    <s v="No"/>
    <x v="2"/>
    <x v="1"/>
    <n v="2"/>
    <n v="12.26"/>
    <n v="2"/>
  </r>
  <r>
    <x v="0"/>
    <s v="No"/>
    <x v="2"/>
    <x v="1"/>
    <n v="2"/>
    <n v="18.260000000000002"/>
    <n v="3.25"/>
  </r>
  <r>
    <x v="0"/>
    <s v="No"/>
    <x v="2"/>
    <x v="1"/>
    <n v="2"/>
    <n v="8.51"/>
    <n v="1.25"/>
  </r>
  <r>
    <x v="0"/>
    <s v="No"/>
    <x v="2"/>
    <x v="1"/>
    <n v="2"/>
    <n v="10.33"/>
    <n v="2"/>
  </r>
  <r>
    <x v="0"/>
    <s v="No"/>
    <x v="2"/>
    <x v="1"/>
    <n v="2"/>
    <n v="14.15"/>
    <n v="2"/>
  </r>
  <r>
    <x v="1"/>
    <s v="Yes"/>
    <x v="2"/>
    <x v="1"/>
    <n v="2"/>
    <n v="16"/>
    <n v="2"/>
  </r>
  <r>
    <x v="0"/>
    <s v="No"/>
    <x v="2"/>
    <x v="1"/>
    <n v="2"/>
    <n v="13.16"/>
    <n v="2.75"/>
  </r>
  <r>
    <x v="0"/>
    <s v="No"/>
    <x v="2"/>
    <x v="1"/>
    <n v="2"/>
    <n v="17.47"/>
    <n v="3.5"/>
  </r>
  <r>
    <x v="1"/>
    <s v="No"/>
    <x v="2"/>
    <x v="1"/>
    <n v="6"/>
    <n v="34.299999999999997"/>
    <n v="6.7"/>
  </r>
  <r>
    <x v="1"/>
    <s v="No"/>
    <x v="2"/>
    <x v="1"/>
    <n v="5"/>
    <n v="41.19"/>
    <n v="5"/>
  </r>
  <r>
    <x v="0"/>
    <s v="No"/>
    <x v="2"/>
    <x v="1"/>
    <n v="6"/>
    <n v="27.05"/>
    <n v="5"/>
  </r>
  <r>
    <x v="0"/>
    <s v="No"/>
    <x v="2"/>
    <x v="1"/>
    <n v="2"/>
    <n v="16.43"/>
    <n v="2.2999999999999998"/>
  </r>
  <r>
    <x v="0"/>
    <s v="No"/>
    <x v="2"/>
    <x v="1"/>
    <n v="2"/>
    <n v="8.35"/>
    <n v="1.5"/>
  </r>
  <r>
    <x v="0"/>
    <s v="No"/>
    <x v="2"/>
    <x v="1"/>
    <n v="3"/>
    <n v="18.64"/>
    <n v="1.36"/>
  </r>
  <r>
    <x v="0"/>
    <s v="No"/>
    <x v="2"/>
    <x v="1"/>
    <n v="2"/>
    <n v="11.87"/>
    <n v="1.63"/>
  </r>
  <r>
    <x v="1"/>
    <s v="No"/>
    <x v="2"/>
    <x v="1"/>
    <n v="2"/>
    <n v="9.7799999999999994"/>
    <n v="1.73"/>
  </r>
  <r>
    <x v="1"/>
    <s v="No"/>
    <x v="2"/>
    <x v="1"/>
    <n v="2"/>
    <n v="7.51"/>
    <n v="2"/>
  </r>
  <r>
    <x v="1"/>
    <s v="No"/>
    <x v="0"/>
    <x v="0"/>
    <n v="2"/>
    <n v="14.07"/>
    <n v="2.5"/>
  </r>
  <r>
    <x v="1"/>
    <s v="No"/>
    <x v="0"/>
    <x v="0"/>
    <n v="2"/>
    <n v="13.13"/>
    <n v="2"/>
  </r>
  <r>
    <x v="1"/>
    <s v="No"/>
    <x v="0"/>
    <x v="0"/>
    <n v="3"/>
    <n v="17.260000000000002"/>
    <n v="2.74"/>
  </r>
  <r>
    <x v="1"/>
    <s v="No"/>
    <x v="0"/>
    <x v="0"/>
    <n v="4"/>
    <n v="24.55"/>
    <n v="2"/>
  </r>
  <r>
    <x v="1"/>
    <s v="No"/>
    <x v="0"/>
    <x v="0"/>
    <n v="4"/>
    <n v="19.77"/>
    <n v="2"/>
  </r>
  <r>
    <x v="0"/>
    <s v="No"/>
    <x v="0"/>
    <x v="0"/>
    <n v="5"/>
    <n v="29.85"/>
    <n v="5.14"/>
  </r>
  <r>
    <x v="1"/>
    <s v="No"/>
    <x v="0"/>
    <x v="0"/>
    <n v="6"/>
    <n v="48.17"/>
    <n v="5"/>
  </r>
  <r>
    <x v="0"/>
    <s v="No"/>
    <x v="0"/>
    <x v="0"/>
    <n v="4"/>
    <n v="25"/>
    <n v="3.75"/>
  </r>
  <r>
    <x v="0"/>
    <s v="No"/>
    <x v="0"/>
    <x v="0"/>
    <n v="2"/>
    <n v="13.39"/>
    <n v="2.61"/>
  </r>
  <r>
    <x v="1"/>
    <s v="No"/>
    <x v="0"/>
    <x v="0"/>
    <n v="4"/>
    <n v="16.489999999999998"/>
    <n v="2"/>
  </r>
  <r>
    <x v="1"/>
    <s v="No"/>
    <x v="0"/>
    <x v="0"/>
    <n v="4"/>
    <n v="21.5"/>
    <n v="3.5"/>
  </r>
  <r>
    <x v="1"/>
    <s v="No"/>
    <x v="0"/>
    <x v="0"/>
    <n v="2"/>
    <n v="12.66"/>
    <n v="2.5"/>
  </r>
  <r>
    <x v="0"/>
    <s v="No"/>
    <x v="0"/>
    <x v="0"/>
    <n v="3"/>
    <n v="16.21"/>
    <n v="2"/>
  </r>
  <r>
    <x v="1"/>
    <s v="No"/>
    <x v="0"/>
    <x v="0"/>
    <n v="2"/>
    <n v="13.81"/>
    <n v="2"/>
  </r>
  <r>
    <x v="0"/>
    <s v="Yes"/>
    <x v="0"/>
    <x v="0"/>
    <n v="2"/>
    <n v="17.510000000000002"/>
    <n v="3"/>
  </r>
  <r>
    <x v="1"/>
    <s v="No"/>
    <x v="0"/>
    <x v="0"/>
    <n v="3"/>
    <n v="24.52"/>
    <n v="3.48"/>
  </r>
  <r>
    <x v="1"/>
    <s v="No"/>
    <x v="0"/>
    <x v="0"/>
    <n v="2"/>
    <n v="20.76"/>
    <n v="2.2400000000000002"/>
  </r>
  <r>
    <x v="1"/>
    <s v="No"/>
    <x v="0"/>
    <x v="0"/>
    <n v="4"/>
    <n v="31.71"/>
    <n v="4.5"/>
  </r>
  <r>
    <x v="0"/>
    <s v="Yes"/>
    <x v="1"/>
    <x v="0"/>
    <n v="2"/>
    <n v="10.59"/>
    <n v="1.61"/>
  </r>
  <r>
    <x v="0"/>
    <s v="Yes"/>
    <x v="1"/>
    <x v="0"/>
    <n v="2"/>
    <n v="10.63"/>
    <n v="2"/>
  </r>
  <r>
    <x v="1"/>
    <s v="Yes"/>
    <x v="1"/>
    <x v="0"/>
    <n v="3"/>
    <n v="50.81"/>
    <n v="10"/>
  </r>
  <r>
    <x v="1"/>
    <s v="Yes"/>
    <x v="1"/>
    <x v="0"/>
    <n v="2"/>
    <n v="15.81"/>
    <n v="3.16"/>
  </r>
  <r>
    <x v="1"/>
    <s v="Yes"/>
    <x v="0"/>
    <x v="0"/>
    <n v="2"/>
    <n v="7.25"/>
    <n v="5.15"/>
  </r>
  <r>
    <x v="1"/>
    <s v="Yes"/>
    <x v="0"/>
    <x v="0"/>
    <n v="2"/>
    <n v="31.85"/>
    <n v="3.18"/>
  </r>
  <r>
    <x v="1"/>
    <s v="Yes"/>
    <x v="0"/>
    <x v="0"/>
    <n v="2"/>
    <n v="16.82"/>
    <n v="4"/>
  </r>
  <r>
    <x v="1"/>
    <s v="Yes"/>
    <x v="0"/>
    <x v="0"/>
    <n v="2"/>
    <n v="32.9"/>
    <n v="3.11"/>
  </r>
  <r>
    <x v="1"/>
    <s v="Yes"/>
    <x v="0"/>
    <x v="0"/>
    <n v="2"/>
    <n v="17.89"/>
    <n v="2"/>
  </r>
  <r>
    <x v="1"/>
    <s v="Yes"/>
    <x v="0"/>
    <x v="0"/>
    <n v="2"/>
    <n v="14.48"/>
    <n v="2"/>
  </r>
  <r>
    <x v="0"/>
    <s v="Yes"/>
    <x v="0"/>
    <x v="0"/>
    <n v="2"/>
    <n v="9.6"/>
    <n v="4"/>
  </r>
  <r>
    <x v="1"/>
    <s v="Yes"/>
    <x v="0"/>
    <x v="0"/>
    <n v="2"/>
    <n v="34.630000000000003"/>
    <n v="3.55"/>
  </r>
  <r>
    <x v="1"/>
    <s v="Yes"/>
    <x v="0"/>
    <x v="0"/>
    <n v="4"/>
    <n v="34.65"/>
    <n v="3.68"/>
  </r>
  <r>
    <x v="1"/>
    <s v="Yes"/>
    <x v="0"/>
    <x v="0"/>
    <n v="2"/>
    <n v="23.33"/>
    <n v="5.65"/>
  </r>
  <r>
    <x v="1"/>
    <s v="Yes"/>
    <x v="0"/>
    <x v="0"/>
    <n v="3"/>
    <n v="45.35"/>
    <n v="3.5"/>
  </r>
  <r>
    <x v="1"/>
    <s v="Yes"/>
    <x v="0"/>
    <x v="0"/>
    <n v="4"/>
    <n v="23.17"/>
    <n v="6.5"/>
  </r>
  <r>
    <x v="1"/>
    <s v="Yes"/>
    <x v="0"/>
    <x v="0"/>
    <n v="2"/>
    <n v="40.549999999999997"/>
    <n v="3"/>
  </r>
  <r>
    <x v="1"/>
    <s v="No"/>
    <x v="0"/>
    <x v="0"/>
    <n v="5"/>
    <n v="20.69"/>
    <n v="5"/>
  </r>
  <r>
    <x v="0"/>
    <s v="Yes"/>
    <x v="0"/>
    <x v="0"/>
    <n v="3"/>
    <n v="20.9"/>
    <n v="3.5"/>
  </r>
  <r>
    <x v="1"/>
    <s v="Yes"/>
    <x v="0"/>
    <x v="0"/>
    <n v="5"/>
    <n v="30.46"/>
    <n v="2"/>
  </r>
  <r>
    <x v="0"/>
    <s v="Yes"/>
    <x v="0"/>
    <x v="0"/>
    <n v="3"/>
    <n v="18.149999999999999"/>
    <n v="3.5"/>
  </r>
  <r>
    <x v="1"/>
    <s v="Yes"/>
    <x v="0"/>
    <x v="0"/>
    <n v="3"/>
    <n v="23.1"/>
    <n v="4"/>
  </r>
  <r>
    <x v="1"/>
    <s v="Yes"/>
    <x v="0"/>
    <x v="0"/>
    <n v="2"/>
    <n v="15.69"/>
    <n v="1.5"/>
  </r>
  <r>
    <x v="0"/>
    <s v="Yes"/>
    <x v="2"/>
    <x v="1"/>
    <n v="2"/>
    <n v="19.809999999999999"/>
    <n v="4.1900000000000004"/>
  </r>
  <r>
    <x v="1"/>
    <s v="Yes"/>
    <x v="2"/>
    <x v="1"/>
    <n v="2"/>
    <n v="28.44"/>
    <n v="2.56"/>
  </r>
  <r>
    <x v="1"/>
    <s v="Yes"/>
    <x v="2"/>
    <x v="1"/>
    <n v="2"/>
    <n v="15.48"/>
    <n v="2.02"/>
  </r>
  <r>
    <x v="1"/>
    <s v="Yes"/>
    <x v="2"/>
    <x v="1"/>
    <n v="2"/>
    <n v="16.579999999999998"/>
    <n v="4"/>
  </r>
  <r>
    <x v="1"/>
    <s v="No"/>
    <x v="2"/>
    <x v="1"/>
    <n v="2"/>
    <n v="7.56"/>
    <n v="1.44"/>
  </r>
  <r>
    <x v="1"/>
    <s v="Yes"/>
    <x v="2"/>
    <x v="1"/>
    <n v="2"/>
    <n v="10.34"/>
    <n v="2"/>
  </r>
  <r>
    <x v="0"/>
    <s v="Yes"/>
    <x v="2"/>
    <x v="1"/>
    <n v="4"/>
    <n v="43.11"/>
    <n v="5"/>
  </r>
  <r>
    <x v="0"/>
    <s v="Yes"/>
    <x v="2"/>
    <x v="1"/>
    <n v="2"/>
    <n v="13"/>
    <n v="2"/>
  </r>
  <r>
    <x v="1"/>
    <s v="Yes"/>
    <x v="2"/>
    <x v="1"/>
    <n v="2"/>
    <n v="13.51"/>
    <n v="2"/>
  </r>
  <r>
    <x v="1"/>
    <s v="Yes"/>
    <x v="2"/>
    <x v="1"/>
    <n v="3"/>
    <n v="18.71"/>
    <n v="4"/>
  </r>
  <r>
    <x v="0"/>
    <s v="Yes"/>
    <x v="2"/>
    <x v="1"/>
    <n v="2"/>
    <n v="12.74"/>
    <n v="2.0099999999999998"/>
  </r>
  <r>
    <x v="0"/>
    <s v="Yes"/>
    <x v="2"/>
    <x v="1"/>
    <n v="2"/>
    <n v="16.399999999999999"/>
    <n v="2.5"/>
  </r>
  <r>
    <x v="1"/>
    <s v="Yes"/>
    <x v="2"/>
    <x v="1"/>
    <n v="4"/>
    <n v="20.53"/>
    <n v="4"/>
  </r>
  <r>
    <x v="0"/>
    <s v="Yes"/>
    <x v="2"/>
    <x v="1"/>
    <n v="3"/>
    <n v="16.47"/>
    <n v="3.23"/>
  </r>
  <r>
    <x v="1"/>
    <s v="Yes"/>
    <x v="1"/>
    <x v="0"/>
    <n v="3"/>
    <n v="26.59"/>
    <n v="3.41"/>
  </r>
  <r>
    <x v="1"/>
    <s v="Yes"/>
    <x v="1"/>
    <x v="0"/>
    <n v="4"/>
    <n v="38.729999999999997"/>
    <n v="3"/>
  </r>
  <r>
    <x v="1"/>
    <s v="Yes"/>
    <x v="1"/>
    <x v="0"/>
    <n v="2"/>
    <n v="24.27"/>
    <n v="2.0299999999999998"/>
  </r>
  <r>
    <x v="0"/>
    <s v="Yes"/>
    <x v="1"/>
    <x v="0"/>
    <n v="2"/>
    <n v="12.76"/>
    <n v="2.23"/>
  </r>
  <r>
    <x v="1"/>
    <s v="Yes"/>
    <x v="1"/>
    <x v="0"/>
    <n v="3"/>
    <n v="30.06"/>
    <n v="2"/>
  </r>
  <r>
    <x v="1"/>
    <s v="Yes"/>
    <x v="1"/>
    <x v="0"/>
    <n v="4"/>
    <n v="25.89"/>
    <n v="5.16"/>
  </r>
  <r>
    <x v="1"/>
    <s v="No"/>
    <x v="1"/>
    <x v="0"/>
    <n v="4"/>
    <n v="48.33"/>
    <n v="9"/>
  </r>
  <r>
    <x v="0"/>
    <s v="Yes"/>
    <x v="1"/>
    <x v="0"/>
    <n v="2"/>
    <n v="13.27"/>
    <n v="2.5"/>
  </r>
  <r>
    <x v="0"/>
    <s v="Yes"/>
    <x v="1"/>
    <x v="0"/>
    <n v="3"/>
    <n v="28.17"/>
    <n v="6.5"/>
  </r>
  <r>
    <x v="0"/>
    <s v="Yes"/>
    <x v="1"/>
    <x v="0"/>
    <n v="2"/>
    <n v="12.9"/>
    <n v="1.1000000000000001"/>
  </r>
  <r>
    <x v="1"/>
    <s v="Yes"/>
    <x v="1"/>
    <x v="0"/>
    <n v="5"/>
    <n v="28.15"/>
    <n v="3"/>
  </r>
  <r>
    <x v="1"/>
    <s v="Yes"/>
    <x v="1"/>
    <x v="0"/>
    <n v="2"/>
    <n v="11.59"/>
    <n v="1.5"/>
  </r>
  <r>
    <x v="1"/>
    <s v="Yes"/>
    <x v="1"/>
    <x v="0"/>
    <n v="2"/>
    <n v="7.74"/>
    <n v="1.44"/>
  </r>
  <r>
    <x v="0"/>
    <s v="Yes"/>
    <x v="1"/>
    <x v="0"/>
    <n v="4"/>
    <n v="30.14"/>
    <n v="3.09"/>
  </r>
  <r>
    <x v="1"/>
    <s v="Yes"/>
    <x v="3"/>
    <x v="1"/>
    <n v="2"/>
    <n v="12.16"/>
    <n v="2.2000000000000002"/>
  </r>
  <r>
    <x v="0"/>
    <s v="Yes"/>
    <x v="3"/>
    <x v="1"/>
    <n v="2"/>
    <n v="13.42"/>
    <n v="3.48"/>
  </r>
  <r>
    <x v="1"/>
    <s v="Yes"/>
    <x v="3"/>
    <x v="1"/>
    <n v="1"/>
    <n v="8.58"/>
    <n v="1.92"/>
  </r>
  <r>
    <x v="0"/>
    <s v="No"/>
    <x v="3"/>
    <x v="1"/>
    <n v="3"/>
    <n v="15.98"/>
    <n v="3"/>
  </r>
  <r>
    <x v="1"/>
    <s v="Yes"/>
    <x v="3"/>
    <x v="1"/>
    <n v="2"/>
    <n v="13.42"/>
    <n v="1.58"/>
  </r>
  <r>
    <x v="0"/>
    <s v="Yes"/>
    <x v="3"/>
    <x v="1"/>
    <n v="2"/>
    <n v="16.27"/>
    <n v="2.5"/>
  </r>
  <r>
    <x v="0"/>
    <s v="Yes"/>
    <x v="3"/>
    <x v="1"/>
    <n v="2"/>
    <n v="10.09"/>
    <n v="2"/>
  </r>
  <r>
    <x v="1"/>
    <s v="No"/>
    <x v="1"/>
    <x v="0"/>
    <n v="4"/>
    <n v="20.45"/>
    <n v="3"/>
  </r>
  <r>
    <x v="1"/>
    <s v="No"/>
    <x v="1"/>
    <x v="0"/>
    <n v="2"/>
    <n v="13.28"/>
    <n v="2.72"/>
  </r>
  <r>
    <x v="0"/>
    <s v="Yes"/>
    <x v="1"/>
    <x v="0"/>
    <n v="2"/>
    <n v="22.12"/>
    <n v="2.88"/>
  </r>
  <r>
    <x v="1"/>
    <s v="Yes"/>
    <x v="1"/>
    <x v="0"/>
    <n v="4"/>
    <n v="24.01"/>
    <n v="2"/>
  </r>
  <r>
    <x v="1"/>
    <s v="Yes"/>
    <x v="1"/>
    <x v="0"/>
    <n v="3"/>
    <n v="15.69"/>
    <n v="3"/>
  </r>
  <r>
    <x v="1"/>
    <s v="No"/>
    <x v="1"/>
    <x v="0"/>
    <n v="2"/>
    <n v="11.61"/>
    <n v="3.39"/>
  </r>
  <r>
    <x v="1"/>
    <s v="No"/>
    <x v="1"/>
    <x v="0"/>
    <n v="2"/>
    <n v="10.77"/>
    <n v="1.47"/>
  </r>
  <r>
    <x v="1"/>
    <s v="Yes"/>
    <x v="1"/>
    <x v="0"/>
    <n v="2"/>
    <n v="15.53"/>
    <n v="3"/>
  </r>
  <r>
    <x v="1"/>
    <s v="No"/>
    <x v="1"/>
    <x v="0"/>
    <n v="2"/>
    <n v="10.07"/>
    <n v="1.25"/>
  </r>
  <r>
    <x v="1"/>
    <s v="Yes"/>
    <x v="1"/>
    <x v="0"/>
    <n v="2"/>
    <n v="12.6"/>
    <n v="1"/>
  </r>
  <r>
    <x v="1"/>
    <s v="Yes"/>
    <x v="1"/>
    <x v="0"/>
    <n v="2"/>
    <n v="32.83"/>
    <n v="1.17"/>
  </r>
  <r>
    <x v="0"/>
    <s v="No"/>
    <x v="1"/>
    <x v="0"/>
    <n v="3"/>
    <n v="35.83"/>
    <n v="4.67"/>
  </r>
  <r>
    <x v="1"/>
    <s v="No"/>
    <x v="1"/>
    <x v="0"/>
    <n v="3"/>
    <n v="29.03"/>
    <n v="5.92"/>
  </r>
  <r>
    <x v="0"/>
    <s v="Yes"/>
    <x v="1"/>
    <x v="0"/>
    <n v="2"/>
    <n v="27.18"/>
    <n v="2"/>
  </r>
  <r>
    <x v="1"/>
    <s v="Yes"/>
    <x v="1"/>
    <x v="0"/>
    <n v="2"/>
    <n v="22.67"/>
    <n v="2"/>
  </r>
  <r>
    <x v="1"/>
    <s v="No"/>
    <x v="1"/>
    <x v="0"/>
    <n v="2"/>
    <n v="17.82"/>
    <n v="1.75"/>
  </r>
  <r>
    <x v="0"/>
    <s v="No"/>
    <x v="2"/>
    <x v="0"/>
    <n v="2"/>
    <n v="18.78"/>
    <n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491F87B-9242-4DB6-ABE3-ACEE158CE006}" name="PivotTable2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6">
  <location ref="K1:N5" firstHeaderRow="1" firstDataRow="2" firstDataCol="1"/>
  <pivotFields count="7">
    <pivotField axis="axisCol" showAll="0">
      <items count="3">
        <item x="0"/>
        <item x="1"/>
        <item t="default"/>
      </items>
    </pivotField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dataField="1" showAll="0"/>
  </pivotFields>
  <rowFields count="1">
    <field x="3"/>
  </rowFields>
  <rowItems count="3">
    <i>
      <x/>
    </i>
    <i>
      <x v="1"/>
    </i>
    <i t="grand">
      <x/>
    </i>
  </rowItems>
  <colFields count="1">
    <field x="0"/>
  </colFields>
  <colItems count="3">
    <i>
      <x/>
    </i>
    <i>
      <x v="1"/>
    </i>
    <i t="grand">
      <x/>
    </i>
  </colItems>
  <dataFields count="1">
    <dataField name="Sum of tip" fld="6" baseField="0" baseItem="0"/>
  </dataFields>
  <chartFormats count="4">
    <chartFormat chart="10" format="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10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15" format="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15" format="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E27EB84-5D07-41FA-9DBA-38A07A4FE66F}" name="PivotTable13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28:A29" firstHeaderRow="1" firstDataRow="1" firstDataCol="0"/>
  <pivotFields count="7">
    <pivotField showAll="0">
      <items count="3">
        <item x="0"/>
        <item x="1"/>
        <item t="default"/>
      </items>
    </pivotField>
    <pivotField showAll="0"/>
    <pivotField showAll="0"/>
    <pivotField showAll="0"/>
    <pivotField showAll="0"/>
    <pivotField numFmtId="164" showAll="0"/>
    <pivotField dataField="1" numFmtId="164" showAll="0"/>
  </pivotFields>
  <rowItems count="1">
    <i/>
  </rowItems>
  <colItems count="1">
    <i/>
  </colItems>
  <dataFields count="1">
    <dataField name="Average of tip" fld="6" subtotal="average" baseField="0" baseItem="0" numFmtId="164"/>
  </dataFields>
  <formats count="1">
    <format dxfId="0">
      <pivotArea grandRow="1"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CDBDE58-A36B-4064-B696-E4461F4742CF}" name="PivotTable12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24:A25" firstHeaderRow="1" firstDataRow="1" firstDataCol="0"/>
  <pivotFields count="7">
    <pivotField showAll="0">
      <items count="3">
        <item x="0"/>
        <item x="1"/>
        <item t="default"/>
      </items>
    </pivotField>
    <pivotField showAll="0"/>
    <pivotField showAll="0"/>
    <pivotField showAll="0"/>
    <pivotField showAll="0"/>
    <pivotField dataField="1" numFmtId="164" showAll="0"/>
    <pivotField numFmtId="164" showAll="0"/>
  </pivotFields>
  <rowItems count="1">
    <i/>
  </rowItems>
  <colItems count="1">
    <i/>
  </colItems>
  <dataFields count="1">
    <dataField name="Average of total_bill" fld="5" subtotal="average" baseField="0" baseItem="0" numFmtId="164"/>
  </dataFields>
  <formats count="1">
    <format dxfId="1">
      <pivotArea grandRow="1"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A2934A8-7CA2-47F6-94B0-52CB9D54E5DE}" name="PivotTable11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18:B21" firstHeaderRow="1" firstDataRow="1" firstDataCol="1"/>
  <pivotFields count="7"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numFmtId="164" showAll="0"/>
    <pivotField dataField="1" numFmtId="164" showAll="0"/>
  </pivotFields>
  <rowFields count="1">
    <field x="0"/>
  </rowFields>
  <rowItems count="3">
    <i>
      <x/>
    </i>
    <i>
      <x v="1"/>
    </i>
    <i t="grand">
      <x/>
    </i>
  </rowItems>
  <colItems count="1">
    <i/>
  </colItems>
  <dataFields count="1">
    <dataField name="Sum of tip" fld="6" baseField="0" baseItem="0" numFmtId="164"/>
  </dataFields>
  <formats count="3">
    <format dxfId="4">
      <pivotArea collapsedLevelsAreSubtotals="1" fieldPosition="0">
        <references count="1">
          <reference field="0" count="1">
            <x v="0"/>
          </reference>
        </references>
      </pivotArea>
    </format>
    <format dxfId="3">
      <pivotArea collapsedLevelsAreSubtotals="1" fieldPosition="0">
        <references count="1">
          <reference field="0" count="1">
            <x v="1"/>
          </reference>
        </references>
      </pivotArea>
    </format>
    <format dxfId="2">
      <pivotArea grandRow="1" outline="0" collapsedLevelsAreSubtotals="1" fieldPosition="0"/>
    </format>
  </format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4FE3EB4-D209-4B06-B5DC-C41C7B39D329}" name="PivotTable8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Q1:R6" firstHeaderRow="1" firstDataRow="1" firstDataCol="1"/>
  <pivotFields count="7">
    <pivotField showAll="0"/>
    <pivotField showAll="0"/>
    <pivotField axis="axisRow" showAll="0">
      <items count="5">
        <item x="0"/>
        <item x="3"/>
        <item x="1"/>
        <item x="2"/>
        <item t="default"/>
      </items>
    </pivotField>
    <pivotField showAll="0"/>
    <pivotField showAll="0"/>
    <pivotField showAll="0"/>
    <pivotField dataField="1"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tip" fld="6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drawing" Target="../drawings/drawing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645181-C3E3-4730-BC8B-0F65F56F8447}">
  <dimension ref="A1:I23"/>
  <sheetViews>
    <sheetView workbookViewId="0">
      <selection activeCell="Q8" sqref="Q8"/>
    </sheetView>
  </sheetViews>
  <sheetFormatPr defaultRowHeight="14.4" x14ac:dyDescent="0.3"/>
  <cols>
    <col min="1" max="1" width="17.44140625" bestFit="1" customWidth="1"/>
    <col min="2" max="2" width="12.6640625" bestFit="1" customWidth="1"/>
    <col min="3" max="3" width="13.44140625" bestFit="1" customWidth="1"/>
    <col min="4" max="4" width="12.6640625" bestFit="1" customWidth="1"/>
    <col min="5" max="5" width="12" bestFit="1" customWidth="1"/>
    <col min="6" max="6" width="12.6640625" bestFit="1" customWidth="1"/>
    <col min="7" max="7" width="12" bestFit="1" customWidth="1"/>
    <col min="8" max="8" width="12.6640625" bestFit="1" customWidth="1"/>
    <col min="9" max="9" width="12.109375" bestFit="1" customWidth="1"/>
  </cols>
  <sheetData>
    <row r="1" spans="1:9" x14ac:dyDescent="0.3">
      <c r="A1" t="s">
        <v>25</v>
      </c>
    </row>
    <row r="2" spans="1:9" ht="15" thickBot="1" x14ac:dyDescent="0.35"/>
    <row r="3" spans="1:9" x14ac:dyDescent="0.3">
      <c r="A3" s="5" t="s">
        <v>26</v>
      </c>
      <c r="B3" s="5"/>
    </row>
    <row r="4" spans="1:9" x14ac:dyDescent="0.3">
      <c r="A4" t="s">
        <v>27</v>
      </c>
      <c r="B4">
        <v>0.68474709034084957</v>
      </c>
    </row>
    <row r="5" spans="1:9" x14ac:dyDescent="0.3">
      <c r="A5" t="s">
        <v>28</v>
      </c>
      <c r="B5">
        <v>0.46887857773025954</v>
      </c>
    </row>
    <row r="6" spans="1:9" x14ac:dyDescent="0.3">
      <c r="A6" t="s">
        <v>29</v>
      </c>
      <c r="B6">
        <v>0.45537549072340172</v>
      </c>
    </row>
    <row r="7" spans="1:9" x14ac:dyDescent="0.3">
      <c r="A7" t="s">
        <v>30</v>
      </c>
      <c r="B7">
        <v>1.0221132142257578</v>
      </c>
    </row>
    <row r="8" spans="1:9" ht="15" thickBot="1" x14ac:dyDescent="0.35">
      <c r="A8" s="3" t="s">
        <v>31</v>
      </c>
      <c r="B8" s="3">
        <v>243</v>
      </c>
    </row>
    <row r="10" spans="1:9" ht="15" thickBot="1" x14ac:dyDescent="0.35">
      <c r="A10" t="s">
        <v>32</v>
      </c>
    </row>
    <row r="11" spans="1:9" x14ac:dyDescent="0.3">
      <c r="A11" s="4"/>
      <c r="B11" s="4" t="s">
        <v>37</v>
      </c>
      <c r="C11" s="4" t="s">
        <v>38</v>
      </c>
      <c r="D11" s="4" t="s">
        <v>39</v>
      </c>
      <c r="E11" s="4" t="s">
        <v>40</v>
      </c>
      <c r="F11" s="4" t="s">
        <v>41</v>
      </c>
    </row>
    <row r="12" spans="1:9" x14ac:dyDescent="0.3">
      <c r="A12" t="s">
        <v>33</v>
      </c>
      <c r="B12">
        <v>6</v>
      </c>
      <c r="C12">
        <v>217.65897588186129</v>
      </c>
      <c r="D12">
        <v>36.276495980310216</v>
      </c>
      <c r="E12">
        <v>34.723806303857067</v>
      </c>
      <c r="F12">
        <v>5.9835160601232177E-30</v>
      </c>
    </row>
    <row r="13" spans="1:9" x14ac:dyDescent="0.3">
      <c r="A13" t="s">
        <v>34</v>
      </c>
      <c r="B13">
        <v>236</v>
      </c>
      <c r="C13">
        <v>246.55283975599878</v>
      </c>
      <c r="D13">
        <v>1.04471542269491</v>
      </c>
    </row>
    <row r="14" spans="1:9" ht="15" thickBot="1" x14ac:dyDescent="0.35">
      <c r="A14" s="3" t="s">
        <v>35</v>
      </c>
      <c r="B14" s="3">
        <v>242</v>
      </c>
      <c r="C14" s="3">
        <v>464.21181563786007</v>
      </c>
      <c r="D14" s="3"/>
      <c r="E14" s="3"/>
      <c r="F14" s="3"/>
    </row>
    <row r="15" spans="1:9" ht="15" thickBot="1" x14ac:dyDescent="0.35"/>
    <row r="16" spans="1:9" x14ac:dyDescent="0.3">
      <c r="A16" s="4"/>
      <c r="B16" s="4" t="s">
        <v>42</v>
      </c>
      <c r="C16" s="4" t="s">
        <v>30</v>
      </c>
      <c r="D16" s="4" t="s">
        <v>43</v>
      </c>
      <c r="E16" s="4" t="s">
        <v>44</v>
      </c>
      <c r="F16" s="4" t="s">
        <v>45</v>
      </c>
      <c r="G16" s="4" t="s">
        <v>46</v>
      </c>
      <c r="H16" s="4" t="s">
        <v>47</v>
      </c>
      <c r="I16" s="4" t="s">
        <v>48</v>
      </c>
    </row>
    <row r="17" spans="1:9" x14ac:dyDescent="0.3">
      <c r="A17" t="s">
        <v>36</v>
      </c>
      <c r="B17">
        <v>0.75944339705833919</v>
      </c>
      <c r="C17">
        <v>0.4008404718177967</v>
      </c>
      <c r="D17">
        <v>1.8946275400143391</v>
      </c>
      <c r="E17">
        <v>5.936425306531995E-2</v>
      </c>
      <c r="F17">
        <v>-3.0239129851718061E-2</v>
      </c>
      <c r="G17">
        <v>1.5491259239683965</v>
      </c>
      <c r="H17">
        <v>-3.0239129851718061E-2</v>
      </c>
      <c r="I17">
        <v>1.5491259239683965</v>
      </c>
    </row>
    <row r="18" spans="1:9" x14ac:dyDescent="0.3">
      <c r="A18" t="s">
        <v>17</v>
      </c>
      <c r="B18">
        <v>3.7183538040686311E-2</v>
      </c>
      <c r="C18">
        <v>0.14111058831994691</v>
      </c>
      <c r="D18">
        <v>0.26350636393335886</v>
      </c>
      <c r="E18">
        <v>0.79239024746617592</v>
      </c>
      <c r="F18">
        <v>-0.24081375463018079</v>
      </c>
      <c r="G18">
        <v>0.31518083071155339</v>
      </c>
      <c r="H18">
        <v>-0.24081375463018079</v>
      </c>
      <c r="I18">
        <v>0.31518083071155339</v>
      </c>
    </row>
    <row r="19" spans="1:9" x14ac:dyDescent="0.3">
      <c r="A19" t="s">
        <v>18</v>
      </c>
      <c r="B19">
        <v>-7.3687758526173666E-2</v>
      </c>
      <c r="C19">
        <v>0.14007061302271392</v>
      </c>
      <c r="D19">
        <v>-0.52607579088858858</v>
      </c>
      <c r="E19">
        <v>0.599329557284485</v>
      </c>
      <c r="F19">
        <v>-0.34963623033591701</v>
      </c>
      <c r="G19">
        <v>0.2022607132835697</v>
      </c>
      <c r="H19">
        <v>-0.34963623033591701</v>
      </c>
      <c r="I19">
        <v>0.2022607132835697</v>
      </c>
    </row>
    <row r="20" spans="1:9" x14ac:dyDescent="0.3">
      <c r="A20" t="s">
        <v>20</v>
      </c>
      <c r="B20">
        <v>8.8727762736486165E-2</v>
      </c>
      <c r="C20">
        <v>0.1979455957295716</v>
      </c>
      <c r="D20">
        <v>0.44824317716926548</v>
      </c>
      <c r="E20">
        <v>0.65438894312712859</v>
      </c>
      <c r="F20">
        <v>-0.30123829412789616</v>
      </c>
      <c r="G20">
        <v>0.47869381960086843</v>
      </c>
      <c r="H20">
        <v>-0.30123829412789616</v>
      </c>
      <c r="I20">
        <v>0.47869381960086843</v>
      </c>
    </row>
    <row r="21" spans="1:9" x14ac:dyDescent="0.3">
      <c r="A21" t="s">
        <v>19</v>
      </c>
      <c r="B21">
        <v>-5.3498842810068024E-2</v>
      </c>
      <c r="C21">
        <v>7.4899967748823681E-2</v>
      </c>
      <c r="D21">
        <v>-0.71427057204451516</v>
      </c>
      <c r="E21">
        <v>0.47576574868416877</v>
      </c>
      <c r="F21">
        <v>-0.20105678657044365</v>
      </c>
      <c r="G21">
        <v>9.4059100950307589E-2</v>
      </c>
      <c r="H21">
        <v>-0.20105678657044365</v>
      </c>
      <c r="I21">
        <v>9.4059100950307589E-2</v>
      </c>
    </row>
    <row r="22" spans="1:9" x14ac:dyDescent="0.3">
      <c r="A22" t="s">
        <v>4</v>
      </c>
      <c r="B22">
        <v>0.17393311607359682</v>
      </c>
      <c r="C22">
        <v>8.8904699901314221E-2</v>
      </c>
      <c r="D22">
        <v>1.9563995634276437</v>
      </c>
      <c r="E22">
        <v>5.1597598924417953E-2</v>
      </c>
      <c r="F22">
        <v>-1.2150862869739765E-3</v>
      </c>
      <c r="G22">
        <v>0.34908131843416762</v>
      </c>
      <c r="H22">
        <v>-1.2150862869739765E-3</v>
      </c>
      <c r="I22">
        <v>0.34908131843416762</v>
      </c>
    </row>
    <row r="23" spans="1:9" ht="15" thickBot="1" x14ac:dyDescent="0.35">
      <c r="A23" s="3" t="s">
        <v>5</v>
      </c>
      <c r="B23" s="3">
        <v>9.4374030184376248E-2</v>
      </c>
      <c r="C23" s="3">
        <v>9.5509493783320631E-3</v>
      </c>
      <c r="D23" s="3">
        <v>9.8811151065756491</v>
      </c>
      <c r="E23" s="3">
        <v>1.7174986010942598E-19</v>
      </c>
      <c r="F23" s="3">
        <v>7.5558021398467914E-2</v>
      </c>
      <c r="G23" s="3">
        <v>0.11319003897028458</v>
      </c>
      <c r="H23" s="3">
        <v>7.5558021398467914E-2</v>
      </c>
      <c r="I23" s="3">
        <v>0.11319003897028458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7E0309-775A-4C9B-8713-F588701952F7}">
  <dimension ref="A1:R29"/>
  <sheetViews>
    <sheetView topLeftCell="A7" workbookViewId="0">
      <selection activeCell="C30" sqref="C30"/>
    </sheetView>
  </sheetViews>
  <sheetFormatPr defaultRowHeight="14.4" x14ac:dyDescent="0.3"/>
  <cols>
    <col min="1" max="1" width="18.109375" bestFit="1" customWidth="1"/>
    <col min="2" max="2" width="9.6640625" bestFit="1" customWidth="1"/>
    <col min="11" max="11" width="12.5546875" bestFit="1" customWidth="1"/>
    <col min="12" max="12" width="15.5546875" bestFit="1" customWidth="1"/>
    <col min="13" max="13" width="7" bestFit="1" customWidth="1"/>
    <col min="14" max="14" width="10.77734375" bestFit="1" customWidth="1"/>
    <col min="15" max="15" width="8.109375" bestFit="1" customWidth="1"/>
    <col min="16" max="16" width="6" bestFit="1" customWidth="1"/>
    <col min="17" max="17" width="12.5546875" bestFit="1" customWidth="1"/>
    <col min="18" max="18" width="9.6640625" bestFit="1" customWidth="1"/>
  </cols>
  <sheetData>
    <row r="1" spans="5:18" x14ac:dyDescent="0.3">
      <c r="K1" s="6" t="s">
        <v>23</v>
      </c>
      <c r="L1" s="6" t="s">
        <v>24</v>
      </c>
      <c r="Q1" s="6" t="s">
        <v>21</v>
      </c>
      <c r="R1" t="s">
        <v>23</v>
      </c>
    </row>
    <row r="2" spans="5:18" x14ac:dyDescent="0.3">
      <c r="K2" s="6" t="s">
        <v>21</v>
      </c>
      <c r="L2" t="s">
        <v>7</v>
      </c>
      <c r="M2" t="s">
        <v>11</v>
      </c>
      <c r="N2" t="s">
        <v>22</v>
      </c>
      <c r="Q2" s="7" t="s">
        <v>9</v>
      </c>
      <c r="R2">
        <v>247.39000000000007</v>
      </c>
    </row>
    <row r="3" spans="5:18" x14ac:dyDescent="0.3">
      <c r="K3" s="7" t="s">
        <v>10</v>
      </c>
      <c r="L3">
        <v>156.10999999999999</v>
      </c>
      <c r="M3">
        <v>389.96000000000004</v>
      </c>
      <c r="N3">
        <v>546.07000000000005</v>
      </c>
      <c r="Q3" s="7" t="s">
        <v>16</v>
      </c>
      <c r="R3">
        <v>51.96</v>
      </c>
    </row>
    <row r="4" spans="5:18" x14ac:dyDescent="0.3">
      <c r="K4" s="7" t="s">
        <v>15</v>
      </c>
      <c r="L4">
        <v>88.40000000000002</v>
      </c>
      <c r="M4">
        <v>95.11</v>
      </c>
      <c r="N4">
        <v>183.51000000000002</v>
      </c>
      <c r="Q4" s="7" t="s">
        <v>12</v>
      </c>
      <c r="R4">
        <v>260.39999999999998</v>
      </c>
    </row>
    <row r="5" spans="5:18" x14ac:dyDescent="0.3">
      <c r="K5" s="7" t="s">
        <v>22</v>
      </c>
      <c r="L5">
        <v>244.51</v>
      </c>
      <c r="M5">
        <v>485.07000000000005</v>
      </c>
      <c r="N5">
        <v>729.58</v>
      </c>
      <c r="Q5" s="7" t="s">
        <v>14</v>
      </c>
      <c r="R5">
        <v>169.83</v>
      </c>
    </row>
    <row r="6" spans="5:18" x14ac:dyDescent="0.3">
      <c r="Q6" s="7" t="s">
        <v>22</v>
      </c>
      <c r="R6">
        <v>729.58</v>
      </c>
    </row>
    <row r="16" spans="5:18" ht="17.399999999999999" x14ac:dyDescent="0.3">
      <c r="E16" s="14"/>
    </row>
    <row r="18" spans="1:2" x14ac:dyDescent="0.3">
      <c r="A18" s="6" t="s">
        <v>21</v>
      </c>
      <c r="B18" t="s">
        <v>23</v>
      </c>
    </row>
    <row r="19" spans="1:2" x14ac:dyDescent="0.3">
      <c r="A19" s="7" t="s">
        <v>7</v>
      </c>
      <c r="B19" s="13">
        <v>244.51</v>
      </c>
    </row>
    <row r="20" spans="1:2" x14ac:dyDescent="0.3">
      <c r="A20" s="7" t="s">
        <v>11</v>
      </c>
      <c r="B20" s="13">
        <v>485.07000000000011</v>
      </c>
    </row>
    <row r="21" spans="1:2" x14ac:dyDescent="0.3">
      <c r="A21" s="7" t="s">
        <v>22</v>
      </c>
      <c r="B21" s="13">
        <v>729.58000000000015</v>
      </c>
    </row>
    <row r="24" spans="1:2" x14ac:dyDescent="0.3">
      <c r="A24" t="s">
        <v>51</v>
      </c>
    </row>
    <row r="25" spans="1:2" x14ac:dyDescent="0.3">
      <c r="A25" s="13">
        <v>19.813868312757208</v>
      </c>
    </row>
    <row r="28" spans="1:2" x14ac:dyDescent="0.3">
      <c r="A28" t="s">
        <v>52</v>
      </c>
    </row>
    <row r="29" spans="1:2" x14ac:dyDescent="0.3">
      <c r="A29" s="13">
        <v>3.0023868312757203</v>
      </c>
    </row>
  </sheetData>
  <pageMargins left="0.7" right="0.7" top="0.75" bottom="0.75" header="0.3" footer="0.3"/>
  <drawing r:id="rId6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47EB0B-904D-4A32-AC49-EEE4C902527F}">
  <dimension ref="A1:AD246"/>
  <sheetViews>
    <sheetView tabSelected="1" topLeftCell="G1" zoomScale="96" zoomScaleNormal="96" workbookViewId="0">
      <selection activeCell="P10" sqref="P10"/>
    </sheetView>
  </sheetViews>
  <sheetFormatPr defaultColWidth="13.44140625" defaultRowHeight="14.4" x14ac:dyDescent="0.3"/>
  <cols>
    <col min="8" max="8" width="9" customWidth="1"/>
    <col min="18" max="18" width="17.33203125" bestFit="1" customWidth="1"/>
    <col min="19" max="19" width="4.6640625" customWidth="1"/>
    <col min="20" max="20" width="15.44140625" bestFit="1" customWidth="1"/>
    <col min="21" max="21" width="12.6640625" customWidth="1"/>
    <col min="22" max="22" width="4.33203125" customWidth="1"/>
  </cols>
  <sheetData>
    <row r="1" spans="1:30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11" t="s">
        <v>5</v>
      </c>
      <c r="G1" s="11" t="s">
        <v>6</v>
      </c>
      <c r="I1" s="2" t="s">
        <v>17</v>
      </c>
      <c r="J1" s="2" t="s">
        <v>18</v>
      </c>
      <c r="K1" s="2" t="s">
        <v>20</v>
      </c>
      <c r="L1" s="2" t="s">
        <v>19</v>
      </c>
      <c r="M1" s="2" t="s">
        <v>4</v>
      </c>
      <c r="N1" s="11" t="s">
        <v>5</v>
      </c>
      <c r="O1" s="11" t="s">
        <v>6</v>
      </c>
      <c r="P1" s="11" t="s">
        <v>50</v>
      </c>
      <c r="Q1" s="2" t="s">
        <v>34</v>
      </c>
      <c r="R1" s="2" t="s">
        <v>53</v>
      </c>
      <c r="W1" s="2" t="s">
        <v>36</v>
      </c>
      <c r="X1" s="2"/>
      <c r="Y1" s="2"/>
      <c r="Z1" s="2"/>
      <c r="AA1" s="2"/>
      <c r="AB1" s="2"/>
      <c r="AC1" s="2"/>
      <c r="AD1" s="11" t="s">
        <v>50</v>
      </c>
    </row>
    <row r="2" spans="1:30" x14ac:dyDescent="0.3">
      <c r="A2" s="1" t="s">
        <v>7</v>
      </c>
      <c r="B2" s="1" t="s">
        <v>8</v>
      </c>
      <c r="C2" s="1" t="s">
        <v>9</v>
      </c>
      <c r="D2" s="1" t="s">
        <v>10</v>
      </c>
      <c r="E2" s="1">
        <v>2</v>
      </c>
      <c r="F2" s="12">
        <v>16.989999999999998</v>
      </c>
      <c r="G2" s="12">
        <v>1.01</v>
      </c>
      <c r="I2" s="1">
        <f>IF($A2="Male",1,2)</f>
        <v>2</v>
      </c>
      <c r="J2" s="1">
        <f>IF($B2="Yes",2,1)</f>
        <v>1</v>
      </c>
      <c r="K2" s="1">
        <f>IF($D2="Dinner",1,2)</f>
        <v>1</v>
      </c>
      <c r="L2" s="1">
        <f>IF($C2="Sun",1,IF($C2="fri",2,IF($C2="sat",3,IF($C2="thur",4))))</f>
        <v>1</v>
      </c>
      <c r="M2" s="1">
        <v>2</v>
      </c>
      <c r="N2" s="12">
        <v>16.989999999999998</v>
      </c>
      <c r="O2" s="12">
        <v>1.01</v>
      </c>
      <c r="P2" s="12">
        <f>'Model output'!$B$17+'Model output'!$B$18*tips_table!$I2+'Model output'!$B$19*tips_table!$J2+'Model output'!$B$20*tips_table!$K2+'Model output'!$B$21*tips_table!$L2+'Model output'!$B$22*tips_table!$M2+'Model output'!$B$23*tips_table!$N2</f>
        <v>2.746632639519702</v>
      </c>
      <c r="Q2" s="8">
        <f>O2-P2</f>
        <v>-1.736632639519702</v>
      </c>
      <c r="R2" s="16">
        <f>Q2^2</f>
        <v>3.0158929246451676</v>
      </c>
      <c r="T2" s="9" t="s">
        <v>49</v>
      </c>
      <c r="U2" s="1"/>
      <c r="W2" s="1">
        <v>0.75944339705833919</v>
      </c>
      <c r="X2" s="1">
        <f>'Model output'!$B$18*tips_table!$I2</f>
        <v>7.4367076081372621E-2</v>
      </c>
      <c r="Y2" s="1">
        <f>'Model output'!$B$20*tips_table!$K2</f>
        <v>8.8727762736486165E-2</v>
      </c>
      <c r="Z2" s="1">
        <f>'Model output'!$B$19*tips_table!$J2</f>
        <v>-7.3687758526173666E-2</v>
      </c>
      <c r="AA2" s="1">
        <f>'Model output'!$B$21*tips_table!$L2</f>
        <v>-5.3498842810068024E-2</v>
      </c>
      <c r="AB2" s="1">
        <f>'Model output'!$B$22*tips_table!$M2</f>
        <v>0.34786623214719364</v>
      </c>
      <c r="AC2" s="1">
        <f>'Model output'!$B$23*tips_table!$N2</f>
        <v>1.6034147728325523</v>
      </c>
      <c r="AD2" s="12">
        <f>W2+X2+Y2+Z2+AA2+AB2+AC2</f>
        <v>2.746632639519702</v>
      </c>
    </row>
    <row r="3" spans="1:30" x14ac:dyDescent="0.3">
      <c r="A3" s="1" t="s">
        <v>11</v>
      </c>
      <c r="B3" s="1" t="s">
        <v>8</v>
      </c>
      <c r="C3" s="1" t="s">
        <v>9</v>
      </c>
      <c r="D3" s="1" t="s">
        <v>10</v>
      </c>
      <c r="E3" s="1">
        <v>3</v>
      </c>
      <c r="F3" s="12">
        <v>10.34</v>
      </c>
      <c r="G3" s="12">
        <v>1.66</v>
      </c>
      <c r="I3" s="1">
        <f t="shared" ref="I3:I66" si="0">IF($A3="Male",1,2)</f>
        <v>1</v>
      </c>
      <c r="J3" s="1">
        <f t="shared" ref="J3:J66" si="1">IF($B3="Yes",2,1)</f>
        <v>1</v>
      </c>
      <c r="K3" s="1">
        <f t="shared" ref="K3:K66" si="2">IF($D3="Dinner",1,2)</f>
        <v>1</v>
      </c>
      <c r="L3" s="1">
        <f>IF($C3="Sun",1,IF($C3="fri",2,IF($C3="sat",3,IF($C3="thur",4))))</f>
        <v>1</v>
      </c>
      <c r="M3" s="1">
        <v>3</v>
      </c>
      <c r="N3" s="12">
        <v>10.34</v>
      </c>
      <c r="O3" s="12">
        <v>1.66</v>
      </c>
      <c r="P3" s="12">
        <f>'Model output'!$B$17+'Model output'!$B$18*tips_table!$I3+'Model output'!$B$19*tips_table!$J3+'Model output'!$B$20*tips_table!$K3+'Model output'!$B$21*tips_table!$L3+'Model output'!$B$22*tips_table!$M3+'Model output'!$B$23*tips_table!$N3</f>
        <v>2.2557949168265106</v>
      </c>
      <c r="Q3" s="8">
        <f t="shared" ref="Q3:Q66" si="3">O3-P3</f>
        <v>-0.59579491682651065</v>
      </c>
      <c r="R3" s="16">
        <f t="shared" ref="R3:R66" si="4">Q3^2</f>
        <v>0.35497158291630876</v>
      </c>
      <c r="T3" s="1" t="s">
        <v>17</v>
      </c>
      <c r="U3" s="1">
        <f>CORREL($I$2:$I$244,$O$2:$O$244)</f>
        <v>-8.5273975201494628E-2</v>
      </c>
      <c r="W3" s="1">
        <v>0.75944339705833919</v>
      </c>
      <c r="X3" s="1">
        <f>'Model output'!$B$18*tips_table!$I3</f>
        <v>3.7183538040686311E-2</v>
      </c>
      <c r="Y3" s="1">
        <f>'Model output'!$B$20*tips_table!$K3</f>
        <v>8.8727762736486165E-2</v>
      </c>
      <c r="Z3" s="1">
        <f>'Model output'!$B$19*tips_table!$J3</f>
        <v>-7.3687758526173666E-2</v>
      </c>
      <c r="AA3" s="1">
        <f>'Model output'!$B$21*tips_table!$L3</f>
        <v>-5.3498842810068024E-2</v>
      </c>
      <c r="AB3" s="1">
        <f>'Model output'!$B$22*tips_table!$M3</f>
        <v>0.52179934822079044</v>
      </c>
      <c r="AC3" s="1">
        <f>'Model output'!$B$23*tips_table!$N3</f>
        <v>0.97582747210645038</v>
      </c>
      <c r="AD3" s="12">
        <f t="shared" ref="AD3:AD66" si="5">W3+X3+Y3+Z3+AA3+AB3+AC3</f>
        <v>2.2557949168265106</v>
      </c>
    </row>
    <row r="4" spans="1:30" x14ac:dyDescent="0.3">
      <c r="A4" s="1" t="s">
        <v>11</v>
      </c>
      <c r="B4" s="1" t="s">
        <v>8</v>
      </c>
      <c r="C4" s="1" t="s">
        <v>9</v>
      </c>
      <c r="D4" s="1" t="s">
        <v>10</v>
      </c>
      <c r="E4" s="1">
        <v>3</v>
      </c>
      <c r="F4" s="12">
        <v>21.01</v>
      </c>
      <c r="G4" s="12">
        <v>3.5</v>
      </c>
      <c r="I4" s="1">
        <f t="shared" si="0"/>
        <v>1</v>
      </c>
      <c r="J4" s="1">
        <f t="shared" si="1"/>
        <v>1</v>
      </c>
      <c r="K4" s="1">
        <f t="shared" si="2"/>
        <v>1</v>
      </c>
      <c r="L4" s="1">
        <f t="shared" ref="L4:L67" si="6">IF($C4="Sun",1,IF($C4="fri",2,IF($C4="sat",3,IF($C4="thur",4))))</f>
        <v>1</v>
      </c>
      <c r="M4" s="1">
        <v>3</v>
      </c>
      <c r="N4" s="12">
        <v>21.01</v>
      </c>
      <c r="O4" s="12">
        <v>3.5</v>
      </c>
      <c r="P4" s="12">
        <f>'Model output'!$B$17+'Model output'!$B$18*tips_table!$I4+'Model output'!$B$19*tips_table!$J4+'Model output'!$B$20*tips_table!$K4+'Model output'!$B$21*tips_table!$L4+'Model output'!$B$22*tips_table!$M4+'Model output'!$B$23*tips_table!$N4</f>
        <v>3.2627658188938056</v>
      </c>
      <c r="Q4" s="8">
        <f t="shared" si="3"/>
        <v>0.23723418110619443</v>
      </c>
      <c r="R4" s="16">
        <f t="shared" si="4"/>
        <v>5.6280056685126659E-2</v>
      </c>
      <c r="T4" s="1" t="s">
        <v>18</v>
      </c>
      <c r="U4" s="1">
        <f>CORREL($J$2:$J$244,$O$2:$O$244)</f>
        <v>9.7627499908010222E-3</v>
      </c>
      <c r="W4" s="1">
        <v>0.75944339705833919</v>
      </c>
      <c r="X4" s="1">
        <f>'Model output'!$B$18*tips_table!$I4</f>
        <v>3.7183538040686311E-2</v>
      </c>
      <c r="Y4" s="1">
        <f>'Model output'!$B$20*tips_table!$K4</f>
        <v>8.8727762736486165E-2</v>
      </c>
      <c r="Z4" s="1">
        <f>'Model output'!$B$19*tips_table!$J4</f>
        <v>-7.3687758526173666E-2</v>
      </c>
      <c r="AA4" s="1">
        <f>'Model output'!$B$21*tips_table!$L4</f>
        <v>-5.3498842810068024E-2</v>
      </c>
      <c r="AB4" s="1">
        <f>'Model output'!$B$22*tips_table!$M4</f>
        <v>0.52179934822079044</v>
      </c>
      <c r="AC4" s="1">
        <f>'Model output'!$B$23*tips_table!$N4</f>
        <v>1.9827983741737452</v>
      </c>
      <c r="AD4" s="12">
        <f t="shared" si="5"/>
        <v>3.2627658188938056</v>
      </c>
    </row>
    <row r="5" spans="1:30" x14ac:dyDescent="0.3">
      <c r="A5" s="1" t="s">
        <v>11</v>
      </c>
      <c r="B5" s="1" t="s">
        <v>8</v>
      </c>
      <c r="C5" s="1" t="s">
        <v>9</v>
      </c>
      <c r="D5" s="1" t="s">
        <v>10</v>
      </c>
      <c r="E5" s="1">
        <v>2</v>
      </c>
      <c r="F5" s="12">
        <v>23.68</v>
      </c>
      <c r="G5" s="12">
        <v>3.31</v>
      </c>
      <c r="I5" s="1">
        <f t="shared" si="0"/>
        <v>1</v>
      </c>
      <c r="J5" s="1">
        <f t="shared" si="1"/>
        <v>1</v>
      </c>
      <c r="K5" s="1">
        <f t="shared" si="2"/>
        <v>1</v>
      </c>
      <c r="L5" s="1">
        <f t="shared" si="6"/>
        <v>1</v>
      </c>
      <c r="M5" s="1">
        <v>2</v>
      </c>
      <c r="N5" s="12">
        <v>23.68</v>
      </c>
      <c r="O5" s="12">
        <v>3.31</v>
      </c>
      <c r="P5" s="12">
        <f>'Model output'!$B$17+'Model output'!$B$18*tips_table!$I5+'Model output'!$B$19*tips_table!$J5+'Model output'!$B$20*tips_table!$K5+'Model output'!$B$21*tips_table!$L5+'Model output'!$B$22*tips_table!$M5+'Model output'!$B$23*tips_table!$N5</f>
        <v>3.340811363412493</v>
      </c>
      <c r="Q5" s="8">
        <f t="shared" si="3"/>
        <v>-3.0811363412492909E-2</v>
      </c>
      <c r="R5" s="16">
        <f t="shared" si="4"/>
        <v>9.4934011533670667E-4</v>
      </c>
      <c r="T5" s="1" t="s">
        <v>20</v>
      </c>
      <c r="U5" s="1">
        <f>CORREL($K$2:$K$244,$O$2:$O$244)</f>
        <v>-0.117596390271059</v>
      </c>
      <c r="W5" s="1">
        <v>0.75944339705833919</v>
      </c>
      <c r="X5" s="1">
        <f>'Model output'!$B$18*tips_table!$I5</f>
        <v>3.7183538040686311E-2</v>
      </c>
      <c r="Y5" s="1">
        <f>'Model output'!$B$20*tips_table!$K5</f>
        <v>8.8727762736486165E-2</v>
      </c>
      <c r="Z5" s="1">
        <f>'Model output'!$B$19*tips_table!$J5</f>
        <v>-7.3687758526173666E-2</v>
      </c>
      <c r="AA5" s="1">
        <f>'Model output'!$B$21*tips_table!$L5</f>
        <v>-5.3498842810068024E-2</v>
      </c>
      <c r="AB5" s="1">
        <f>'Model output'!$B$22*tips_table!$M5</f>
        <v>0.34786623214719364</v>
      </c>
      <c r="AC5" s="1">
        <f>'Model output'!$B$23*tips_table!$N5</f>
        <v>2.2347770347660294</v>
      </c>
      <c r="AD5" s="12">
        <f t="shared" si="5"/>
        <v>3.340811363412493</v>
      </c>
    </row>
    <row r="6" spans="1:30" x14ac:dyDescent="0.3">
      <c r="A6" s="1" t="s">
        <v>7</v>
      </c>
      <c r="B6" s="1" t="s">
        <v>8</v>
      </c>
      <c r="C6" s="1" t="s">
        <v>9</v>
      </c>
      <c r="D6" s="1" t="s">
        <v>10</v>
      </c>
      <c r="E6" s="1">
        <v>4</v>
      </c>
      <c r="F6" s="12">
        <v>24.59</v>
      </c>
      <c r="G6" s="12">
        <v>3.61</v>
      </c>
      <c r="I6" s="1">
        <f t="shared" si="0"/>
        <v>2</v>
      </c>
      <c r="J6" s="1">
        <f t="shared" si="1"/>
        <v>1</v>
      </c>
      <c r="K6" s="1">
        <f t="shared" si="2"/>
        <v>1</v>
      </c>
      <c r="L6" s="1">
        <f t="shared" si="6"/>
        <v>1</v>
      </c>
      <c r="M6" s="1">
        <v>4</v>
      </c>
      <c r="N6" s="12">
        <v>24.59</v>
      </c>
      <c r="O6" s="12">
        <v>3.61</v>
      </c>
      <c r="P6" s="12">
        <f>'Model output'!$B$17+'Model output'!$B$18*tips_table!$I6+'Model output'!$B$19*tips_table!$J6+'Model output'!$B$20*tips_table!$K6+'Model output'!$B$21*tips_table!$L6+'Model output'!$B$22*tips_table!$M6+'Model output'!$B$23*tips_table!$N6</f>
        <v>3.8117415010681555</v>
      </c>
      <c r="Q6" s="8">
        <f t="shared" si="3"/>
        <v>-0.20174150106815558</v>
      </c>
      <c r="R6" s="16">
        <f t="shared" si="4"/>
        <v>4.0699633253232621E-2</v>
      </c>
      <c r="T6" s="1" t="s">
        <v>19</v>
      </c>
      <c r="U6" s="1">
        <f>CORREL($L$2:$L$244,$O$2:$O$244)</f>
        <v>-0.11843030099970935</v>
      </c>
      <c r="W6" s="1">
        <v>0.75944339705833919</v>
      </c>
      <c r="X6" s="1">
        <f>'Model output'!$B$18*tips_table!$I6</f>
        <v>7.4367076081372621E-2</v>
      </c>
      <c r="Y6" s="1">
        <f>'Model output'!$B$20*tips_table!$K6</f>
        <v>8.8727762736486165E-2</v>
      </c>
      <c r="Z6" s="1">
        <f>'Model output'!$B$19*tips_table!$J6</f>
        <v>-7.3687758526173666E-2</v>
      </c>
      <c r="AA6" s="1">
        <f>'Model output'!$B$21*tips_table!$L6</f>
        <v>-5.3498842810068024E-2</v>
      </c>
      <c r="AB6" s="1">
        <f>'Model output'!$B$22*tips_table!$M6</f>
        <v>0.69573246429438729</v>
      </c>
      <c r="AC6" s="1">
        <f>'Model output'!$B$23*tips_table!$N6</f>
        <v>2.3206574022338118</v>
      </c>
      <c r="AD6" s="12">
        <f t="shared" si="5"/>
        <v>3.8117415010681555</v>
      </c>
    </row>
    <row r="7" spans="1:30" x14ac:dyDescent="0.3">
      <c r="A7" s="1" t="s">
        <v>11</v>
      </c>
      <c r="B7" s="1" t="s">
        <v>8</v>
      </c>
      <c r="C7" s="1" t="s">
        <v>9</v>
      </c>
      <c r="D7" s="1" t="s">
        <v>10</v>
      </c>
      <c r="E7" s="1">
        <v>4</v>
      </c>
      <c r="F7" s="12">
        <v>25.29</v>
      </c>
      <c r="G7" s="12">
        <v>4.71</v>
      </c>
      <c r="I7" s="1">
        <f t="shared" si="0"/>
        <v>1</v>
      </c>
      <c r="J7" s="1">
        <f t="shared" si="1"/>
        <v>1</v>
      </c>
      <c r="K7" s="1">
        <f t="shared" si="2"/>
        <v>1</v>
      </c>
      <c r="L7" s="1">
        <f t="shared" si="6"/>
        <v>1</v>
      </c>
      <c r="M7" s="1">
        <v>4</v>
      </c>
      <c r="N7" s="12">
        <v>25.29</v>
      </c>
      <c r="O7" s="12">
        <v>4.71</v>
      </c>
      <c r="P7" s="12">
        <f>'Model output'!$B$17+'Model output'!$B$18*tips_table!$I7+'Model output'!$B$19*tips_table!$J7+'Model output'!$B$20*tips_table!$K7+'Model output'!$B$21*tips_table!$L7+'Model output'!$B$22*tips_table!$M7+'Model output'!$B$23*tips_table!$N7</f>
        <v>3.8406197841565324</v>
      </c>
      <c r="Q7" s="8">
        <f t="shared" si="3"/>
        <v>0.86938021584346759</v>
      </c>
      <c r="R7" s="16">
        <f t="shared" si="4"/>
        <v>0.7558219597000343</v>
      </c>
      <c r="T7" s="1" t="s">
        <v>4</v>
      </c>
      <c r="U7" s="1">
        <f>CORREL($M$2:$M$244,$O$2:$O$244)</f>
        <v>0.48840039467488378</v>
      </c>
      <c r="W7" s="1">
        <v>0.75944339705833919</v>
      </c>
      <c r="X7" s="1">
        <f>'Model output'!$B$18*tips_table!$I7</f>
        <v>3.7183538040686311E-2</v>
      </c>
      <c r="Y7" s="1">
        <f>'Model output'!$B$20*tips_table!$K7</f>
        <v>8.8727762736486165E-2</v>
      </c>
      <c r="Z7" s="1">
        <f>'Model output'!$B$19*tips_table!$J7</f>
        <v>-7.3687758526173666E-2</v>
      </c>
      <c r="AA7" s="1">
        <f>'Model output'!$B$21*tips_table!$L7</f>
        <v>-5.3498842810068024E-2</v>
      </c>
      <c r="AB7" s="1">
        <f>'Model output'!$B$22*tips_table!$M7</f>
        <v>0.69573246429438729</v>
      </c>
      <c r="AC7" s="1">
        <f>'Model output'!$B$23*tips_table!$N7</f>
        <v>2.3867192233628751</v>
      </c>
      <c r="AD7" s="12">
        <f t="shared" si="5"/>
        <v>3.8406197841565324</v>
      </c>
    </row>
    <row r="8" spans="1:30" x14ac:dyDescent="0.3">
      <c r="A8" s="1" t="s">
        <v>11</v>
      </c>
      <c r="B8" s="1" t="s">
        <v>8</v>
      </c>
      <c r="C8" s="1" t="s">
        <v>9</v>
      </c>
      <c r="D8" s="1" t="s">
        <v>10</v>
      </c>
      <c r="E8" s="1">
        <v>2</v>
      </c>
      <c r="F8" s="12">
        <v>8.77</v>
      </c>
      <c r="G8" s="12">
        <v>2</v>
      </c>
      <c r="I8" s="1">
        <f t="shared" si="0"/>
        <v>1</v>
      </c>
      <c r="J8" s="1">
        <f t="shared" si="1"/>
        <v>1</v>
      </c>
      <c r="K8" s="1">
        <f t="shared" si="2"/>
        <v>1</v>
      </c>
      <c r="L8" s="1">
        <f t="shared" si="6"/>
        <v>1</v>
      </c>
      <c r="M8" s="1">
        <v>2</v>
      </c>
      <c r="N8" s="12">
        <v>8.77</v>
      </c>
      <c r="O8" s="12">
        <v>2</v>
      </c>
      <c r="P8" s="12">
        <f>'Model output'!$B$17+'Model output'!$B$18*tips_table!$I8+'Model output'!$B$19*tips_table!$J8+'Model output'!$B$20*tips_table!$K8+'Model output'!$B$21*tips_table!$L8+'Model output'!$B$22*tips_table!$M8+'Model output'!$B$23*tips_table!$N8</f>
        <v>1.9336945733634432</v>
      </c>
      <c r="Q8" s="8">
        <f t="shared" si="3"/>
        <v>6.6305426636556808E-2</v>
      </c>
      <c r="R8" s="16">
        <f t="shared" si="4"/>
        <v>4.396409601455817E-3</v>
      </c>
      <c r="T8" s="1" t="s">
        <v>5</v>
      </c>
      <c r="U8" s="1">
        <f>CORREL($N$2:$N$244,$O$2:$O$244)</f>
        <v>0.6749978565456074</v>
      </c>
      <c r="W8" s="1">
        <v>0.75944339705833919</v>
      </c>
      <c r="X8" s="1">
        <f>'Model output'!$B$18*tips_table!$I8</f>
        <v>3.7183538040686311E-2</v>
      </c>
      <c r="Y8" s="1">
        <f>'Model output'!$B$20*tips_table!$K8</f>
        <v>8.8727762736486165E-2</v>
      </c>
      <c r="Z8" s="1">
        <f>'Model output'!$B$19*tips_table!$J8</f>
        <v>-7.3687758526173666E-2</v>
      </c>
      <c r="AA8" s="1">
        <f>'Model output'!$B$21*tips_table!$L8</f>
        <v>-5.3498842810068024E-2</v>
      </c>
      <c r="AB8" s="1">
        <f>'Model output'!$B$22*tips_table!$M8</f>
        <v>0.34786623214719364</v>
      </c>
      <c r="AC8" s="1">
        <f>'Model output'!$B$23*tips_table!$N8</f>
        <v>0.82766024471697963</v>
      </c>
      <c r="AD8" s="12">
        <f t="shared" si="5"/>
        <v>1.9336945733634432</v>
      </c>
    </row>
    <row r="9" spans="1:30" x14ac:dyDescent="0.3">
      <c r="A9" s="1" t="s">
        <v>11</v>
      </c>
      <c r="B9" s="1" t="s">
        <v>8</v>
      </c>
      <c r="C9" s="1" t="s">
        <v>9</v>
      </c>
      <c r="D9" s="1" t="s">
        <v>10</v>
      </c>
      <c r="E9" s="1">
        <v>4</v>
      </c>
      <c r="F9" s="12">
        <v>26.88</v>
      </c>
      <c r="G9" s="12">
        <v>3.12</v>
      </c>
      <c r="I9" s="1">
        <f t="shared" si="0"/>
        <v>1</v>
      </c>
      <c r="J9" s="1">
        <f t="shared" si="1"/>
        <v>1</v>
      </c>
      <c r="K9" s="1">
        <f t="shared" si="2"/>
        <v>1</v>
      </c>
      <c r="L9" s="1">
        <f t="shared" si="6"/>
        <v>1</v>
      </c>
      <c r="M9" s="1">
        <v>4</v>
      </c>
      <c r="N9" s="12">
        <v>26.88</v>
      </c>
      <c r="O9" s="12">
        <v>3.12</v>
      </c>
      <c r="P9" s="12">
        <f>'Model output'!$B$17+'Model output'!$B$18*tips_table!$I9+'Model output'!$B$19*tips_table!$J9+'Model output'!$B$20*tips_table!$K9+'Model output'!$B$21*tips_table!$L9+'Model output'!$B$22*tips_table!$M9+'Model output'!$B$23*tips_table!$N9</f>
        <v>3.9906744921496906</v>
      </c>
      <c r="Q9" s="8">
        <f t="shared" si="3"/>
        <v>-0.8706744921496905</v>
      </c>
      <c r="R9" s="16">
        <f t="shared" si="4"/>
        <v>0.7580740712801215</v>
      </c>
      <c r="W9" s="1">
        <v>0.75944339705833919</v>
      </c>
      <c r="X9" s="1">
        <f>'Model output'!$B$18*tips_table!$I9</f>
        <v>3.7183538040686311E-2</v>
      </c>
      <c r="Y9" s="1">
        <f>'Model output'!$B$20*tips_table!$K9</f>
        <v>8.8727762736486165E-2</v>
      </c>
      <c r="Z9" s="1">
        <f>'Model output'!$B$19*tips_table!$J9</f>
        <v>-7.3687758526173666E-2</v>
      </c>
      <c r="AA9" s="1">
        <f>'Model output'!$B$21*tips_table!$L9</f>
        <v>-5.3498842810068024E-2</v>
      </c>
      <c r="AB9" s="1">
        <f>'Model output'!$B$22*tips_table!$M9</f>
        <v>0.69573246429438729</v>
      </c>
      <c r="AC9" s="1">
        <f>'Model output'!$B$23*tips_table!$N9</f>
        <v>2.5367739313560334</v>
      </c>
      <c r="AD9" s="12">
        <f t="shared" si="5"/>
        <v>3.9906744921496906</v>
      </c>
    </row>
    <row r="10" spans="1:30" x14ac:dyDescent="0.3">
      <c r="A10" s="1" t="s">
        <v>11</v>
      </c>
      <c r="B10" s="1" t="s">
        <v>8</v>
      </c>
      <c r="C10" s="1" t="s">
        <v>9</v>
      </c>
      <c r="D10" s="1" t="s">
        <v>10</v>
      </c>
      <c r="E10" s="1">
        <v>2</v>
      </c>
      <c r="F10" s="12">
        <v>15.04</v>
      </c>
      <c r="G10" s="12">
        <v>1.96</v>
      </c>
      <c r="I10" s="1">
        <f t="shared" si="0"/>
        <v>1</v>
      </c>
      <c r="J10" s="1">
        <f t="shared" si="1"/>
        <v>1</v>
      </c>
      <c r="K10" s="1">
        <f t="shared" si="2"/>
        <v>1</v>
      </c>
      <c r="L10" s="1">
        <f t="shared" si="6"/>
        <v>1</v>
      </c>
      <c r="M10" s="1">
        <v>2</v>
      </c>
      <c r="N10" s="12">
        <v>15.04</v>
      </c>
      <c r="O10" s="12">
        <v>1.96</v>
      </c>
      <c r="P10" s="12">
        <f>'Model output'!$B$17+'Model output'!$B$18*tips_table!$I10+'Model output'!$B$19*tips_table!$J10+'Model output'!$B$20*tips_table!$K10+'Model output'!$B$21*tips_table!$L10+'Model output'!$B$22*tips_table!$M10+'Model output'!$B$23*tips_table!$N10</f>
        <v>2.5254197426194822</v>
      </c>
      <c r="Q10" s="8">
        <f t="shared" si="3"/>
        <v>-0.56541974261948225</v>
      </c>
      <c r="R10" s="16">
        <f t="shared" si="4"/>
        <v>0.31969948534388154</v>
      </c>
      <c r="W10" s="1">
        <v>0.75944339705833919</v>
      </c>
      <c r="X10" s="1">
        <f>'Model output'!$B$18*tips_table!$I10</f>
        <v>3.7183538040686311E-2</v>
      </c>
      <c r="Y10" s="1">
        <f>'Model output'!$B$20*tips_table!$K10</f>
        <v>8.8727762736486165E-2</v>
      </c>
      <c r="Z10" s="1">
        <f>'Model output'!$B$19*tips_table!$J10</f>
        <v>-7.3687758526173666E-2</v>
      </c>
      <c r="AA10" s="1">
        <f>'Model output'!$B$21*tips_table!$L10</f>
        <v>-5.3498842810068024E-2</v>
      </c>
      <c r="AB10" s="1">
        <f>'Model output'!$B$22*tips_table!$M10</f>
        <v>0.34786623214719364</v>
      </c>
      <c r="AC10" s="1">
        <f>'Model output'!$B$23*tips_table!$N10</f>
        <v>1.4193854139730187</v>
      </c>
      <c r="AD10" s="12">
        <f t="shared" si="5"/>
        <v>2.5254197426194822</v>
      </c>
    </row>
    <row r="11" spans="1:30" x14ac:dyDescent="0.3">
      <c r="A11" s="1" t="s">
        <v>11</v>
      </c>
      <c r="B11" s="1" t="s">
        <v>8</v>
      </c>
      <c r="C11" s="1" t="s">
        <v>9</v>
      </c>
      <c r="D11" s="1" t="s">
        <v>10</v>
      </c>
      <c r="E11" s="1">
        <v>2</v>
      </c>
      <c r="F11" s="12">
        <v>14.78</v>
      </c>
      <c r="G11" s="12">
        <v>3.23</v>
      </c>
      <c r="I11" s="1">
        <f t="shared" si="0"/>
        <v>1</v>
      </c>
      <c r="J11" s="1">
        <f t="shared" si="1"/>
        <v>1</v>
      </c>
      <c r="K11" s="1">
        <f t="shared" si="2"/>
        <v>1</v>
      </c>
      <c r="L11" s="1">
        <f t="shared" si="6"/>
        <v>1</v>
      </c>
      <c r="M11" s="1">
        <v>2</v>
      </c>
      <c r="N11" s="12">
        <v>14.78</v>
      </c>
      <c r="O11" s="12">
        <v>3.23</v>
      </c>
      <c r="P11" s="12">
        <f>'Model output'!$B$17+'Model output'!$B$18*tips_table!$I11+'Model output'!$B$19*tips_table!$J11+'Model output'!$B$20*tips_table!$K11+'Model output'!$B$21*tips_table!$L11+'Model output'!$B$22*tips_table!$M11+'Model output'!$B$23*tips_table!$N11</f>
        <v>2.5008824947715445</v>
      </c>
      <c r="Q11" s="8">
        <f t="shared" si="3"/>
        <v>0.72911750522845553</v>
      </c>
      <c r="R11" s="16">
        <f t="shared" si="4"/>
        <v>0.53161233643056693</v>
      </c>
      <c r="W11" s="1">
        <v>0.75944339705833919</v>
      </c>
      <c r="X11" s="1">
        <f>'Model output'!$B$18*tips_table!$I11</f>
        <v>3.7183538040686311E-2</v>
      </c>
      <c r="Y11" s="1">
        <f>'Model output'!$B$20*tips_table!$K11</f>
        <v>8.8727762736486165E-2</v>
      </c>
      <c r="Z11" s="1">
        <f>'Model output'!$B$19*tips_table!$J11</f>
        <v>-7.3687758526173666E-2</v>
      </c>
      <c r="AA11" s="1">
        <f>'Model output'!$B$21*tips_table!$L11</f>
        <v>-5.3498842810068024E-2</v>
      </c>
      <c r="AB11" s="1">
        <f>'Model output'!$B$22*tips_table!$M11</f>
        <v>0.34786623214719364</v>
      </c>
      <c r="AC11" s="1">
        <f>'Model output'!$B$23*tips_table!$N11</f>
        <v>1.3948481661250809</v>
      </c>
      <c r="AD11" s="12">
        <f t="shared" si="5"/>
        <v>2.5008824947715445</v>
      </c>
    </row>
    <row r="12" spans="1:30" x14ac:dyDescent="0.3">
      <c r="A12" s="1" t="s">
        <v>11</v>
      </c>
      <c r="B12" s="1" t="s">
        <v>8</v>
      </c>
      <c r="C12" s="1" t="s">
        <v>9</v>
      </c>
      <c r="D12" s="1" t="s">
        <v>10</v>
      </c>
      <c r="E12" s="1">
        <v>2</v>
      </c>
      <c r="F12" s="12">
        <v>10.27</v>
      </c>
      <c r="G12" s="12">
        <v>1.71</v>
      </c>
      <c r="I12" s="1">
        <f t="shared" si="0"/>
        <v>1</v>
      </c>
      <c r="J12" s="1">
        <f t="shared" si="1"/>
        <v>1</v>
      </c>
      <c r="K12" s="1">
        <f t="shared" si="2"/>
        <v>1</v>
      </c>
      <c r="L12" s="1">
        <f t="shared" si="6"/>
        <v>1</v>
      </c>
      <c r="M12" s="1">
        <v>2</v>
      </c>
      <c r="N12" s="12">
        <v>10.27</v>
      </c>
      <c r="O12" s="12">
        <v>1.71</v>
      </c>
      <c r="P12" s="12">
        <f>'Model output'!$B$17+'Model output'!$B$18*tips_table!$I12+'Model output'!$B$19*tips_table!$J12+'Model output'!$B$20*tips_table!$K12+'Model output'!$B$21*tips_table!$L12+'Model output'!$B$22*tips_table!$M12+'Model output'!$B$23*tips_table!$N12</f>
        <v>2.0752556186400075</v>
      </c>
      <c r="Q12" s="8">
        <f t="shared" si="3"/>
        <v>-0.36525561864000755</v>
      </c>
      <c r="R12" s="16">
        <f t="shared" si="4"/>
        <v>0.13341166694809464</v>
      </c>
      <c r="W12" s="1">
        <v>0.75944339705833919</v>
      </c>
      <c r="X12" s="1">
        <f>'Model output'!$B$18*tips_table!$I12</f>
        <v>3.7183538040686311E-2</v>
      </c>
      <c r="Y12" s="1">
        <f>'Model output'!$B$20*tips_table!$K12</f>
        <v>8.8727762736486165E-2</v>
      </c>
      <c r="Z12" s="1">
        <f>'Model output'!$B$19*tips_table!$J12</f>
        <v>-7.3687758526173666E-2</v>
      </c>
      <c r="AA12" s="1">
        <f>'Model output'!$B$21*tips_table!$L12</f>
        <v>-5.3498842810068024E-2</v>
      </c>
      <c r="AB12" s="1">
        <f>'Model output'!$B$22*tips_table!$M12</f>
        <v>0.34786623214719364</v>
      </c>
      <c r="AC12" s="1">
        <f>'Model output'!$B$23*tips_table!$N12</f>
        <v>0.96922128999354407</v>
      </c>
      <c r="AD12" s="12">
        <f t="shared" si="5"/>
        <v>2.0752556186400075</v>
      </c>
    </row>
    <row r="13" spans="1:30" x14ac:dyDescent="0.3">
      <c r="A13" s="1" t="s">
        <v>7</v>
      </c>
      <c r="B13" s="1" t="s">
        <v>8</v>
      </c>
      <c r="C13" s="1" t="s">
        <v>9</v>
      </c>
      <c r="D13" s="1" t="s">
        <v>10</v>
      </c>
      <c r="E13" s="1">
        <v>4</v>
      </c>
      <c r="F13" s="12">
        <v>35.26</v>
      </c>
      <c r="G13" s="12">
        <v>5</v>
      </c>
      <c r="I13" s="1">
        <f t="shared" si="0"/>
        <v>2</v>
      </c>
      <c r="J13" s="1">
        <f t="shared" si="1"/>
        <v>1</v>
      </c>
      <c r="K13" s="1">
        <f t="shared" si="2"/>
        <v>1</v>
      </c>
      <c r="L13" s="1">
        <f t="shared" si="6"/>
        <v>1</v>
      </c>
      <c r="M13" s="1">
        <v>4</v>
      </c>
      <c r="N13" s="12">
        <v>35.26</v>
      </c>
      <c r="O13" s="12">
        <v>5</v>
      </c>
      <c r="P13" s="12">
        <f>'Model output'!$B$17+'Model output'!$B$18*tips_table!$I13+'Model output'!$B$19*tips_table!$J13+'Model output'!$B$20*tips_table!$K13+'Model output'!$B$21*tips_table!$L13+'Model output'!$B$22*tips_table!$M13+'Model output'!$B$23*tips_table!$N13</f>
        <v>4.81871240313545</v>
      </c>
      <c r="Q13" s="8">
        <f t="shared" si="3"/>
        <v>0.18128759686454998</v>
      </c>
      <c r="R13" s="16">
        <f t="shared" si="4"/>
        <v>3.2865192776923589E-2</v>
      </c>
      <c r="W13" s="1">
        <v>0.75944339705833919</v>
      </c>
      <c r="X13" s="1">
        <f>'Model output'!$B$18*tips_table!$I13</f>
        <v>7.4367076081372621E-2</v>
      </c>
      <c r="Y13" s="1">
        <f>'Model output'!$B$20*tips_table!$K13</f>
        <v>8.8727762736486165E-2</v>
      </c>
      <c r="Z13" s="1">
        <f>'Model output'!$B$19*tips_table!$J13</f>
        <v>-7.3687758526173666E-2</v>
      </c>
      <c r="AA13" s="1">
        <f>'Model output'!$B$21*tips_table!$L13</f>
        <v>-5.3498842810068024E-2</v>
      </c>
      <c r="AB13" s="1">
        <f>'Model output'!$B$22*tips_table!$M13</f>
        <v>0.69573246429438729</v>
      </c>
      <c r="AC13" s="1">
        <f>'Model output'!$B$23*tips_table!$N13</f>
        <v>3.3276283043011063</v>
      </c>
      <c r="AD13" s="12">
        <f t="shared" si="5"/>
        <v>4.81871240313545</v>
      </c>
    </row>
    <row r="14" spans="1:30" x14ac:dyDescent="0.3">
      <c r="A14" s="1" t="s">
        <v>11</v>
      </c>
      <c r="B14" s="1" t="s">
        <v>8</v>
      </c>
      <c r="C14" s="1" t="s">
        <v>9</v>
      </c>
      <c r="D14" s="1" t="s">
        <v>10</v>
      </c>
      <c r="E14" s="1">
        <v>2</v>
      </c>
      <c r="F14" s="12">
        <v>15.42</v>
      </c>
      <c r="G14" s="12">
        <v>1.57</v>
      </c>
      <c r="I14" s="1">
        <f t="shared" si="0"/>
        <v>1</v>
      </c>
      <c r="J14" s="1">
        <f t="shared" si="1"/>
        <v>1</v>
      </c>
      <c r="K14" s="1">
        <f t="shared" si="2"/>
        <v>1</v>
      </c>
      <c r="L14" s="1">
        <f t="shared" si="6"/>
        <v>1</v>
      </c>
      <c r="M14" s="1">
        <v>2</v>
      </c>
      <c r="N14" s="12">
        <v>15.42</v>
      </c>
      <c r="O14" s="12">
        <v>1.57</v>
      </c>
      <c r="P14" s="12">
        <f>'Model output'!$B$17+'Model output'!$B$18*tips_table!$I14+'Model output'!$B$19*tips_table!$J14+'Model output'!$B$20*tips_table!$K14+'Model output'!$B$21*tips_table!$L14+'Model output'!$B$22*tips_table!$M14+'Model output'!$B$23*tips_table!$N14</f>
        <v>2.5612818740895453</v>
      </c>
      <c r="Q14" s="8">
        <f t="shared" si="3"/>
        <v>-0.99128187408954527</v>
      </c>
      <c r="R14" s="16">
        <f t="shared" si="4"/>
        <v>0.98263975389848113</v>
      </c>
      <c r="W14" s="1">
        <v>0.75944339705833919</v>
      </c>
      <c r="X14" s="1">
        <f>'Model output'!$B$18*tips_table!$I14</f>
        <v>3.7183538040686311E-2</v>
      </c>
      <c r="Y14" s="1">
        <f>'Model output'!$B$20*tips_table!$K14</f>
        <v>8.8727762736486165E-2</v>
      </c>
      <c r="Z14" s="1">
        <f>'Model output'!$B$19*tips_table!$J14</f>
        <v>-7.3687758526173666E-2</v>
      </c>
      <c r="AA14" s="1">
        <f>'Model output'!$B$21*tips_table!$L14</f>
        <v>-5.3498842810068024E-2</v>
      </c>
      <c r="AB14" s="1">
        <f>'Model output'!$B$22*tips_table!$M14</f>
        <v>0.34786623214719364</v>
      </c>
      <c r="AC14" s="1">
        <f>'Model output'!$B$23*tips_table!$N14</f>
        <v>1.4552475454430818</v>
      </c>
      <c r="AD14" s="12">
        <f t="shared" si="5"/>
        <v>2.5612818740895453</v>
      </c>
    </row>
    <row r="15" spans="1:30" x14ac:dyDescent="0.3">
      <c r="A15" s="1" t="s">
        <v>11</v>
      </c>
      <c r="B15" s="1" t="s">
        <v>8</v>
      </c>
      <c r="C15" s="1" t="s">
        <v>9</v>
      </c>
      <c r="D15" s="1" t="s">
        <v>10</v>
      </c>
      <c r="E15" s="1">
        <v>4</v>
      </c>
      <c r="F15" s="12">
        <v>18.43</v>
      </c>
      <c r="G15" s="12">
        <v>3</v>
      </c>
      <c r="I15" s="1">
        <f t="shared" si="0"/>
        <v>1</v>
      </c>
      <c r="J15" s="1">
        <f t="shared" si="1"/>
        <v>1</v>
      </c>
      <c r="K15" s="1">
        <f t="shared" si="2"/>
        <v>1</v>
      </c>
      <c r="L15" s="1">
        <f t="shared" si="6"/>
        <v>1</v>
      </c>
      <c r="M15" s="1">
        <v>4</v>
      </c>
      <c r="N15" s="12">
        <v>18.43</v>
      </c>
      <c r="O15" s="12">
        <v>3</v>
      </c>
      <c r="P15" s="12">
        <f>'Model output'!$B$17+'Model output'!$B$18*tips_table!$I15+'Model output'!$B$19*tips_table!$J15+'Model output'!$B$20*tips_table!$K15+'Model output'!$B$21*tips_table!$L15+'Model output'!$B$22*tips_table!$M15+'Model output'!$B$23*tips_table!$N15</f>
        <v>3.1932139370917114</v>
      </c>
      <c r="Q15" s="8">
        <f t="shared" si="3"/>
        <v>-0.19321393709171142</v>
      </c>
      <c r="R15" s="16">
        <f t="shared" si="4"/>
        <v>3.7331625486479815E-2</v>
      </c>
      <c r="W15" s="1">
        <v>0.75944339705833919</v>
      </c>
      <c r="X15" s="1">
        <f>'Model output'!$B$18*tips_table!$I15</f>
        <v>3.7183538040686311E-2</v>
      </c>
      <c r="Y15" s="1">
        <f>'Model output'!$B$20*tips_table!$K15</f>
        <v>8.8727762736486165E-2</v>
      </c>
      <c r="Z15" s="1">
        <f>'Model output'!$B$19*tips_table!$J15</f>
        <v>-7.3687758526173666E-2</v>
      </c>
      <c r="AA15" s="1">
        <f>'Model output'!$B$21*tips_table!$L15</f>
        <v>-5.3498842810068024E-2</v>
      </c>
      <c r="AB15" s="1">
        <f>'Model output'!$B$22*tips_table!$M15</f>
        <v>0.69573246429438729</v>
      </c>
      <c r="AC15" s="1">
        <f>'Model output'!$B$23*tips_table!$N15</f>
        <v>1.7393133762980542</v>
      </c>
      <c r="AD15" s="12">
        <f t="shared" si="5"/>
        <v>3.1932139370917114</v>
      </c>
    </row>
    <row r="16" spans="1:30" x14ac:dyDescent="0.3">
      <c r="A16" s="1" t="s">
        <v>7</v>
      </c>
      <c r="B16" s="1" t="s">
        <v>8</v>
      </c>
      <c r="C16" s="1" t="s">
        <v>9</v>
      </c>
      <c r="D16" s="1" t="s">
        <v>10</v>
      </c>
      <c r="E16" s="1">
        <v>2</v>
      </c>
      <c r="F16" s="12">
        <v>14.83</v>
      </c>
      <c r="G16" s="12">
        <v>3.02</v>
      </c>
      <c r="I16" s="1">
        <f t="shared" si="0"/>
        <v>2</v>
      </c>
      <c r="J16" s="1">
        <f t="shared" si="1"/>
        <v>1</v>
      </c>
      <c r="K16" s="1">
        <f t="shared" si="2"/>
        <v>1</v>
      </c>
      <c r="L16" s="1">
        <f t="shared" si="6"/>
        <v>1</v>
      </c>
      <c r="M16" s="1">
        <v>2</v>
      </c>
      <c r="N16" s="12">
        <v>14.83</v>
      </c>
      <c r="O16" s="12">
        <v>3.02</v>
      </c>
      <c r="P16" s="12">
        <f>'Model output'!$B$17+'Model output'!$B$18*tips_table!$I16+'Model output'!$B$19*tips_table!$J16+'Model output'!$B$20*tips_table!$K16+'Model output'!$B$21*tips_table!$L16+'Model output'!$B$22*tips_table!$M16+'Model output'!$B$23*tips_table!$N16</f>
        <v>2.54278473432145</v>
      </c>
      <c r="Q16" s="8">
        <f t="shared" si="3"/>
        <v>0.47721526567854999</v>
      </c>
      <c r="R16" s="16">
        <f t="shared" si="4"/>
        <v>0.22773440979664905</v>
      </c>
      <c r="W16" s="1">
        <v>0.75944339705833919</v>
      </c>
      <c r="X16" s="1">
        <f>'Model output'!$B$18*tips_table!$I16</f>
        <v>7.4367076081372621E-2</v>
      </c>
      <c r="Y16" s="1">
        <f>'Model output'!$B$20*tips_table!$K16</f>
        <v>8.8727762736486165E-2</v>
      </c>
      <c r="Z16" s="1">
        <f>'Model output'!$B$19*tips_table!$J16</f>
        <v>-7.3687758526173666E-2</v>
      </c>
      <c r="AA16" s="1">
        <f>'Model output'!$B$21*tips_table!$L16</f>
        <v>-5.3498842810068024E-2</v>
      </c>
      <c r="AB16" s="1">
        <f>'Model output'!$B$22*tips_table!$M16</f>
        <v>0.34786623214719364</v>
      </c>
      <c r="AC16" s="1">
        <f>'Model output'!$B$23*tips_table!$N16</f>
        <v>1.3995668676342998</v>
      </c>
      <c r="AD16" s="12">
        <f t="shared" si="5"/>
        <v>2.54278473432145</v>
      </c>
    </row>
    <row r="17" spans="1:30" x14ac:dyDescent="0.3">
      <c r="A17" s="1" t="s">
        <v>11</v>
      </c>
      <c r="B17" s="1" t="s">
        <v>8</v>
      </c>
      <c r="C17" s="1" t="s">
        <v>9</v>
      </c>
      <c r="D17" s="1" t="s">
        <v>10</v>
      </c>
      <c r="E17" s="1">
        <v>2</v>
      </c>
      <c r="F17" s="12">
        <v>21.58</v>
      </c>
      <c r="G17" s="12">
        <v>3.92</v>
      </c>
      <c r="I17" s="1">
        <f t="shared" si="0"/>
        <v>1</v>
      </c>
      <c r="J17" s="1">
        <f t="shared" si="1"/>
        <v>1</v>
      </c>
      <c r="K17" s="1">
        <f t="shared" si="2"/>
        <v>1</v>
      </c>
      <c r="L17" s="1">
        <f t="shared" si="6"/>
        <v>1</v>
      </c>
      <c r="M17" s="1">
        <v>2</v>
      </c>
      <c r="N17" s="12">
        <v>21.58</v>
      </c>
      <c r="O17" s="12">
        <v>3.92</v>
      </c>
      <c r="P17" s="12">
        <f>'Model output'!$B$17+'Model output'!$B$18*tips_table!$I17+'Model output'!$B$19*tips_table!$J17+'Model output'!$B$20*tips_table!$K17+'Model output'!$B$21*tips_table!$L17+'Model output'!$B$22*tips_table!$M17+'Model output'!$B$23*tips_table!$N17</f>
        <v>3.142625900025303</v>
      </c>
      <c r="Q17" s="8">
        <f t="shared" si="3"/>
        <v>0.77737409997469697</v>
      </c>
      <c r="R17" s="16">
        <f t="shared" si="4"/>
        <v>0.60431049131147019</v>
      </c>
      <c r="W17" s="1">
        <v>0.75944339705833919</v>
      </c>
      <c r="X17" s="1">
        <f>'Model output'!$B$18*tips_table!$I17</f>
        <v>3.7183538040686311E-2</v>
      </c>
      <c r="Y17" s="1">
        <f>'Model output'!$B$20*tips_table!$K17</f>
        <v>8.8727762736486165E-2</v>
      </c>
      <c r="Z17" s="1">
        <f>'Model output'!$B$19*tips_table!$J17</f>
        <v>-7.3687758526173666E-2</v>
      </c>
      <c r="AA17" s="1">
        <f>'Model output'!$B$21*tips_table!$L17</f>
        <v>-5.3498842810068024E-2</v>
      </c>
      <c r="AB17" s="1">
        <f>'Model output'!$B$22*tips_table!$M17</f>
        <v>0.34786623214719364</v>
      </c>
      <c r="AC17" s="1">
        <f>'Model output'!$B$23*tips_table!$N17</f>
        <v>2.0365915713788394</v>
      </c>
      <c r="AD17" s="12">
        <f t="shared" si="5"/>
        <v>3.142625900025303</v>
      </c>
    </row>
    <row r="18" spans="1:30" x14ac:dyDescent="0.3">
      <c r="A18" s="1" t="s">
        <v>7</v>
      </c>
      <c r="B18" s="1" t="s">
        <v>8</v>
      </c>
      <c r="C18" s="1" t="s">
        <v>9</v>
      </c>
      <c r="D18" s="1" t="s">
        <v>10</v>
      </c>
      <c r="E18" s="1">
        <v>3</v>
      </c>
      <c r="F18" s="12">
        <v>10.33</v>
      </c>
      <c r="G18" s="12">
        <v>1.67</v>
      </c>
      <c r="I18" s="1">
        <f t="shared" si="0"/>
        <v>2</v>
      </c>
      <c r="J18" s="1">
        <f t="shared" si="1"/>
        <v>1</v>
      </c>
      <c r="K18" s="1">
        <f t="shared" si="2"/>
        <v>1</v>
      </c>
      <c r="L18" s="1">
        <f t="shared" si="6"/>
        <v>1</v>
      </c>
      <c r="M18" s="1">
        <v>3</v>
      </c>
      <c r="N18" s="12">
        <v>10.33</v>
      </c>
      <c r="O18" s="12">
        <v>1.67</v>
      </c>
      <c r="P18" s="12">
        <f>'Model output'!$B$17+'Model output'!$B$18*tips_table!$I18+'Model output'!$B$19*tips_table!$J18+'Model output'!$B$20*tips_table!$K18+'Model output'!$B$21*tips_table!$L18+'Model output'!$B$22*tips_table!$M18+'Model output'!$B$23*tips_table!$N18</f>
        <v>2.2920347145653537</v>
      </c>
      <c r="Q18" s="8">
        <f t="shared" si="3"/>
        <v>-0.62203471456535375</v>
      </c>
      <c r="R18" s="16">
        <f t="shared" si="4"/>
        <v>0.38692718612440113</v>
      </c>
      <c r="W18" s="1">
        <v>0.75944339705833919</v>
      </c>
      <c r="X18" s="1">
        <f>'Model output'!$B$18*tips_table!$I18</f>
        <v>7.4367076081372621E-2</v>
      </c>
      <c r="Y18" s="1">
        <f>'Model output'!$B$20*tips_table!$K18</f>
        <v>8.8727762736486165E-2</v>
      </c>
      <c r="Z18" s="1">
        <f>'Model output'!$B$19*tips_table!$J18</f>
        <v>-7.3687758526173666E-2</v>
      </c>
      <c r="AA18" s="1">
        <f>'Model output'!$B$21*tips_table!$L18</f>
        <v>-5.3498842810068024E-2</v>
      </c>
      <c r="AB18" s="1">
        <f>'Model output'!$B$22*tips_table!$M18</f>
        <v>0.52179934822079044</v>
      </c>
      <c r="AC18" s="1">
        <f>'Model output'!$B$23*tips_table!$N18</f>
        <v>0.97488373180460663</v>
      </c>
      <c r="AD18" s="12">
        <f t="shared" si="5"/>
        <v>2.2920347145653537</v>
      </c>
    </row>
    <row r="19" spans="1:30" x14ac:dyDescent="0.3">
      <c r="A19" s="1" t="s">
        <v>11</v>
      </c>
      <c r="B19" s="1" t="s">
        <v>8</v>
      </c>
      <c r="C19" s="1" t="s">
        <v>9</v>
      </c>
      <c r="D19" s="1" t="s">
        <v>10</v>
      </c>
      <c r="E19" s="1">
        <v>3</v>
      </c>
      <c r="F19" s="12">
        <v>16.29</v>
      </c>
      <c r="G19" s="12">
        <v>3.71</v>
      </c>
      <c r="I19" s="1">
        <f t="shared" si="0"/>
        <v>1</v>
      </c>
      <c r="J19" s="1">
        <f t="shared" si="1"/>
        <v>1</v>
      </c>
      <c r="K19" s="1">
        <f t="shared" si="2"/>
        <v>1</v>
      </c>
      <c r="L19" s="1">
        <f t="shared" si="6"/>
        <v>1</v>
      </c>
      <c r="M19" s="1">
        <v>3</v>
      </c>
      <c r="N19" s="12">
        <v>16.29</v>
      </c>
      <c r="O19" s="12">
        <v>3.71</v>
      </c>
      <c r="P19" s="12">
        <f>'Model output'!$B$17+'Model output'!$B$18*tips_table!$I19+'Model output'!$B$19*tips_table!$J19+'Model output'!$B$20*tips_table!$K19+'Model output'!$B$21*tips_table!$L19+'Model output'!$B$22*tips_table!$M19+'Model output'!$B$23*tips_table!$N19</f>
        <v>2.8173203964235496</v>
      </c>
      <c r="Q19" s="8">
        <f t="shared" si="3"/>
        <v>0.89267960357645038</v>
      </c>
      <c r="R19" s="16">
        <f t="shared" si="4"/>
        <v>0.79687687464140855</v>
      </c>
      <c r="W19" s="1">
        <v>0.75944339705833919</v>
      </c>
      <c r="X19" s="1">
        <f>'Model output'!$B$18*tips_table!$I19</f>
        <v>3.7183538040686311E-2</v>
      </c>
      <c r="Y19" s="1">
        <f>'Model output'!$B$20*tips_table!$K19</f>
        <v>8.8727762736486165E-2</v>
      </c>
      <c r="Z19" s="1">
        <f>'Model output'!$B$19*tips_table!$J19</f>
        <v>-7.3687758526173666E-2</v>
      </c>
      <c r="AA19" s="1">
        <f>'Model output'!$B$21*tips_table!$L19</f>
        <v>-5.3498842810068024E-2</v>
      </c>
      <c r="AB19" s="1">
        <f>'Model output'!$B$22*tips_table!$M19</f>
        <v>0.52179934822079044</v>
      </c>
      <c r="AC19" s="1">
        <f>'Model output'!$B$23*tips_table!$N19</f>
        <v>1.537352951703489</v>
      </c>
      <c r="AD19" s="12">
        <f t="shared" si="5"/>
        <v>2.8173203964235496</v>
      </c>
    </row>
    <row r="20" spans="1:30" ht="15.6" x14ac:dyDescent="0.3">
      <c r="A20" s="1" t="s">
        <v>7</v>
      </c>
      <c r="B20" s="1" t="s">
        <v>8</v>
      </c>
      <c r="C20" s="1" t="s">
        <v>9</v>
      </c>
      <c r="D20" s="1" t="s">
        <v>10</v>
      </c>
      <c r="E20" s="1">
        <v>3</v>
      </c>
      <c r="F20" s="12">
        <v>16.97</v>
      </c>
      <c r="G20" s="12">
        <v>3.5</v>
      </c>
      <c r="I20" s="1">
        <f t="shared" si="0"/>
        <v>2</v>
      </c>
      <c r="J20" s="1">
        <f t="shared" si="1"/>
        <v>1</v>
      </c>
      <c r="K20" s="1">
        <f t="shared" si="2"/>
        <v>1</v>
      </c>
      <c r="L20" s="1">
        <f t="shared" si="6"/>
        <v>1</v>
      </c>
      <c r="M20" s="1">
        <v>3</v>
      </c>
      <c r="N20" s="12">
        <v>16.97</v>
      </c>
      <c r="O20" s="12">
        <v>3.5</v>
      </c>
      <c r="P20" s="12">
        <f>'Model output'!$B$17+'Model output'!$B$18*tips_table!$I20+'Model output'!$B$19*tips_table!$J20+'Model output'!$B$20*tips_table!$K20+'Model output'!$B$21*tips_table!$L20+'Model output'!$B$22*tips_table!$M20+'Model output'!$B$23*tips_table!$N20</f>
        <v>2.9186782749896114</v>
      </c>
      <c r="Q20" s="8">
        <f t="shared" si="3"/>
        <v>0.58132172501038859</v>
      </c>
      <c r="R20" s="16">
        <f t="shared" si="4"/>
        <v>0.33793494796905388</v>
      </c>
      <c r="S20" s="10"/>
      <c r="W20" s="1">
        <v>0.75944339705833919</v>
      </c>
      <c r="X20" s="1">
        <f>'Model output'!$B$18*tips_table!$I20</f>
        <v>7.4367076081372621E-2</v>
      </c>
      <c r="Y20" s="1">
        <f>'Model output'!$B$20*tips_table!$K20</f>
        <v>8.8727762736486165E-2</v>
      </c>
      <c r="Z20" s="1">
        <f>'Model output'!$B$19*tips_table!$J20</f>
        <v>-7.3687758526173666E-2</v>
      </c>
      <c r="AA20" s="1">
        <f>'Model output'!$B$21*tips_table!$L20</f>
        <v>-5.3498842810068024E-2</v>
      </c>
      <c r="AB20" s="1">
        <f>'Model output'!$B$22*tips_table!$M20</f>
        <v>0.52179934822079044</v>
      </c>
      <c r="AC20" s="1">
        <f>'Model output'!$B$23*tips_table!$N20</f>
        <v>1.6015272922288648</v>
      </c>
      <c r="AD20" s="12">
        <f t="shared" si="5"/>
        <v>2.9186782749896114</v>
      </c>
    </row>
    <row r="21" spans="1:30" x14ac:dyDescent="0.3">
      <c r="A21" s="1" t="s">
        <v>11</v>
      </c>
      <c r="B21" s="1" t="s">
        <v>8</v>
      </c>
      <c r="C21" s="1" t="s">
        <v>12</v>
      </c>
      <c r="D21" s="1" t="s">
        <v>10</v>
      </c>
      <c r="E21" s="1">
        <v>3</v>
      </c>
      <c r="F21" s="12">
        <v>20.65</v>
      </c>
      <c r="G21" s="12">
        <v>3.35</v>
      </c>
      <c r="I21" s="1">
        <f t="shared" si="0"/>
        <v>1</v>
      </c>
      <c r="J21" s="1">
        <f t="shared" si="1"/>
        <v>1</v>
      </c>
      <c r="K21" s="1">
        <f t="shared" si="2"/>
        <v>1</v>
      </c>
      <c r="L21" s="1">
        <f t="shared" si="6"/>
        <v>3</v>
      </c>
      <c r="M21" s="1">
        <v>3</v>
      </c>
      <c r="N21" s="12">
        <v>20.65</v>
      </c>
      <c r="O21" s="12">
        <v>3.35</v>
      </c>
      <c r="P21" s="12">
        <f>'Model output'!$B$17+'Model output'!$B$18*tips_table!$I21+'Model output'!$B$19*tips_table!$J21+'Model output'!$B$20*tips_table!$K21+'Model output'!$B$21*tips_table!$L21+'Model output'!$B$22*tips_table!$M21+'Model output'!$B$23*tips_table!$N21</f>
        <v>3.1217934824072939</v>
      </c>
      <c r="Q21" s="8">
        <f t="shared" si="3"/>
        <v>0.22820651759270616</v>
      </c>
      <c r="R21" s="16">
        <f t="shared" si="4"/>
        <v>5.2078214671790107E-2</v>
      </c>
      <c r="W21" s="1">
        <v>0.75944339705833919</v>
      </c>
      <c r="X21" s="1">
        <f>'Model output'!$B$18*tips_table!$I21</f>
        <v>3.7183538040686311E-2</v>
      </c>
      <c r="Y21" s="1">
        <f>'Model output'!$B$20*tips_table!$K21</f>
        <v>8.8727762736486165E-2</v>
      </c>
      <c r="Z21" s="1">
        <f>'Model output'!$B$19*tips_table!$J21</f>
        <v>-7.3687758526173666E-2</v>
      </c>
      <c r="AA21" s="1">
        <f>'Model output'!$B$21*tips_table!$L21</f>
        <v>-0.16049652843020407</v>
      </c>
      <c r="AB21" s="1">
        <f>'Model output'!$B$22*tips_table!$M21</f>
        <v>0.52179934822079044</v>
      </c>
      <c r="AC21" s="1">
        <f>'Model output'!$B$23*tips_table!$N21</f>
        <v>1.9488237233073693</v>
      </c>
      <c r="AD21" s="12">
        <f t="shared" si="5"/>
        <v>3.1217934824072939</v>
      </c>
    </row>
    <row r="22" spans="1:30" x14ac:dyDescent="0.3">
      <c r="A22" s="1" t="s">
        <v>11</v>
      </c>
      <c r="B22" s="1" t="s">
        <v>8</v>
      </c>
      <c r="C22" s="1" t="s">
        <v>12</v>
      </c>
      <c r="D22" s="1" t="s">
        <v>10</v>
      </c>
      <c r="E22" s="1">
        <v>2</v>
      </c>
      <c r="F22" s="12">
        <v>17.920000000000002</v>
      </c>
      <c r="G22" s="12">
        <v>4.08</v>
      </c>
      <c r="I22" s="1">
        <f t="shared" si="0"/>
        <v>1</v>
      </c>
      <c r="J22" s="1">
        <f t="shared" si="1"/>
        <v>1</v>
      </c>
      <c r="K22" s="1">
        <f t="shared" si="2"/>
        <v>1</v>
      </c>
      <c r="L22" s="1">
        <f t="shared" si="6"/>
        <v>3</v>
      </c>
      <c r="M22" s="1">
        <v>2</v>
      </c>
      <c r="N22" s="12">
        <v>17.920000000000002</v>
      </c>
      <c r="O22" s="12">
        <v>4.08</v>
      </c>
      <c r="P22" s="12">
        <f>'Model output'!$B$17+'Model output'!$B$18*tips_table!$I22+'Model output'!$B$19*tips_table!$J22+'Model output'!$B$20*tips_table!$K22+'Model output'!$B$21*tips_table!$L22+'Model output'!$B$22*tips_table!$M22+'Model output'!$B$23*tips_table!$N22</f>
        <v>2.6902192639303504</v>
      </c>
      <c r="Q22" s="8">
        <f t="shared" si="3"/>
        <v>1.3897807360696497</v>
      </c>
      <c r="R22" s="16">
        <f t="shared" si="4"/>
        <v>1.9314904943502973</v>
      </c>
      <c r="W22" s="1">
        <v>0.75944339705833919</v>
      </c>
      <c r="X22" s="1">
        <f>'Model output'!$B$18*tips_table!$I22</f>
        <v>3.7183538040686311E-2</v>
      </c>
      <c r="Y22" s="1">
        <f>'Model output'!$B$20*tips_table!$K22</f>
        <v>8.8727762736486165E-2</v>
      </c>
      <c r="Z22" s="1">
        <f>'Model output'!$B$19*tips_table!$J22</f>
        <v>-7.3687758526173666E-2</v>
      </c>
      <c r="AA22" s="1">
        <f>'Model output'!$B$21*tips_table!$L22</f>
        <v>-0.16049652843020407</v>
      </c>
      <c r="AB22" s="1">
        <f>'Model output'!$B$22*tips_table!$M22</f>
        <v>0.34786623214719364</v>
      </c>
      <c r="AC22" s="1">
        <f>'Model output'!$B$23*tips_table!$N22</f>
        <v>1.6911826209040226</v>
      </c>
      <c r="AD22" s="12">
        <f t="shared" si="5"/>
        <v>2.6902192639303504</v>
      </c>
    </row>
    <row r="23" spans="1:30" x14ac:dyDescent="0.3">
      <c r="A23" s="1" t="s">
        <v>7</v>
      </c>
      <c r="B23" s="1" t="s">
        <v>8</v>
      </c>
      <c r="C23" s="1" t="s">
        <v>12</v>
      </c>
      <c r="D23" s="1" t="s">
        <v>10</v>
      </c>
      <c r="E23" s="1">
        <v>2</v>
      </c>
      <c r="F23" s="12">
        <v>20.29</v>
      </c>
      <c r="G23" s="12">
        <v>2.75</v>
      </c>
      <c r="I23" s="1">
        <f t="shared" si="0"/>
        <v>2</v>
      </c>
      <c r="J23" s="1">
        <f t="shared" si="1"/>
        <v>1</v>
      </c>
      <c r="K23" s="1">
        <f t="shared" si="2"/>
        <v>1</v>
      </c>
      <c r="L23" s="1">
        <f t="shared" si="6"/>
        <v>3</v>
      </c>
      <c r="M23" s="1">
        <v>2</v>
      </c>
      <c r="N23" s="12">
        <v>20.29</v>
      </c>
      <c r="O23" s="12">
        <v>2.75</v>
      </c>
      <c r="P23" s="12">
        <f>'Model output'!$B$17+'Model output'!$B$18*tips_table!$I23+'Model output'!$B$19*tips_table!$J23+'Model output'!$B$20*tips_table!$K23+'Model output'!$B$21*tips_table!$L23+'Model output'!$B$22*tips_table!$M23+'Model output'!$B$23*tips_table!$N23</f>
        <v>2.9510692535080079</v>
      </c>
      <c r="Q23" s="8">
        <f t="shared" si="3"/>
        <v>-0.20106925350800786</v>
      </c>
      <c r="R23" s="16">
        <f t="shared" si="4"/>
        <v>4.0428844706267529E-2</v>
      </c>
      <c r="W23" s="1">
        <v>0.75944339705833919</v>
      </c>
      <c r="X23" s="1">
        <f>'Model output'!$B$18*tips_table!$I23</f>
        <v>7.4367076081372621E-2</v>
      </c>
      <c r="Y23" s="1">
        <f>'Model output'!$B$20*tips_table!$K23</f>
        <v>8.8727762736486165E-2</v>
      </c>
      <c r="Z23" s="1">
        <f>'Model output'!$B$19*tips_table!$J23</f>
        <v>-7.3687758526173666E-2</v>
      </c>
      <c r="AA23" s="1">
        <f>'Model output'!$B$21*tips_table!$L23</f>
        <v>-0.16049652843020407</v>
      </c>
      <c r="AB23" s="1">
        <f>'Model output'!$B$22*tips_table!$M23</f>
        <v>0.34786623214719364</v>
      </c>
      <c r="AC23" s="1">
        <f>'Model output'!$B$23*tips_table!$N23</f>
        <v>1.9148490724409939</v>
      </c>
      <c r="AD23" s="12">
        <f t="shared" si="5"/>
        <v>2.9510692535080079</v>
      </c>
    </row>
    <row r="24" spans="1:30" x14ac:dyDescent="0.3">
      <c r="A24" s="1" t="s">
        <v>7</v>
      </c>
      <c r="B24" s="1" t="s">
        <v>8</v>
      </c>
      <c r="C24" s="1" t="s">
        <v>12</v>
      </c>
      <c r="D24" s="1" t="s">
        <v>10</v>
      </c>
      <c r="E24" s="1">
        <v>2</v>
      </c>
      <c r="F24" s="12">
        <v>15.77</v>
      </c>
      <c r="G24" s="12">
        <v>2.23</v>
      </c>
      <c r="I24" s="1">
        <f t="shared" si="0"/>
        <v>2</v>
      </c>
      <c r="J24" s="1">
        <f t="shared" si="1"/>
        <v>1</v>
      </c>
      <c r="K24" s="1">
        <f t="shared" si="2"/>
        <v>1</v>
      </c>
      <c r="L24" s="1">
        <f t="shared" si="6"/>
        <v>3</v>
      </c>
      <c r="M24" s="1">
        <v>2</v>
      </c>
      <c r="N24" s="12">
        <v>15.77</v>
      </c>
      <c r="O24" s="12">
        <v>2.23</v>
      </c>
      <c r="P24" s="12">
        <f>'Model output'!$B$17+'Model output'!$B$18*tips_table!$I24+'Model output'!$B$19*tips_table!$J24+'Model output'!$B$20*tips_table!$K24+'Model output'!$B$21*tips_table!$L24+'Model output'!$B$22*tips_table!$M24+'Model output'!$B$23*tips_table!$N24</f>
        <v>2.5244986370746272</v>
      </c>
      <c r="Q24" s="8">
        <f t="shared" si="3"/>
        <v>-0.2944986370746272</v>
      </c>
      <c r="R24" s="16">
        <f t="shared" si="4"/>
        <v>8.6729447238812984E-2</v>
      </c>
      <c r="W24" s="1">
        <v>0.75944339705833919</v>
      </c>
      <c r="X24" s="1">
        <f>'Model output'!$B$18*tips_table!$I24</f>
        <v>7.4367076081372621E-2</v>
      </c>
      <c r="Y24" s="1">
        <f>'Model output'!$B$20*tips_table!$K24</f>
        <v>8.8727762736486165E-2</v>
      </c>
      <c r="Z24" s="1">
        <f>'Model output'!$B$19*tips_table!$J24</f>
        <v>-7.3687758526173666E-2</v>
      </c>
      <c r="AA24" s="1">
        <f>'Model output'!$B$21*tips_table!$L24</f>
        <v>-0.16049652843020407</v>
      </c>
      <c r="AB24" s="1">
        <f>'Model output'!$B$22*tips_table!$M24</f>
        <v>0.34786623214719364</v>
      </c>
      <c r="AC24" s="1">
        <f>'Model output'!$B$23*tips_table!$N24</f>
        <v>1.4882784560076134</v>
      </c>
      <c r="AD24" s="12">
        <f t="shared" si="5"/>
        <v>2.5244986370746272</v>
      </c>
    </row>
    <row r="25" spans="1:30" x14ac:dyDescent="0.3">
      <c r="A25" s="1" t="s">
        <v>11</v>
      </c>
      <c r="B25" s="1" t="s">
        <v>8</v>
      </c>
      <c r="C25" s="1" t="s">
        <v>12</v>
      </c>
      <c r="D25" s="1" t="s">
        <v>10</v>
      </c>
      <c r="E25" s="1">
        <v>4</v>
      </c>
      <c r="F25" s="12">
        <v>39.42</v>
      </c>
      <c r="G25" s="12">
        <v>7.58</v>
      </c>
      <c r="I25" s="1">
        <f t="shared" si="0"/>
        <v>1</v>
      </c>
      <c r="J25" s="1">
        <f t="shared" si="1"/>
        <v>1</v>
      </c>
      <c r="K25" s="1">
        <f t="shared" si="2"/>
        <v>1</v>
      </c>
      <c r="L25" s="1">
        <f t="shared" si="6"/>
        <v>3</v>
      </c>
      <c r="M25" s="1">
        <v>4</v>
      </c>
      <c r="N25" s="12">
        <v>39.42</v>
      </c>
      <c r="O25" s="12">
        <v>7.58</v>
      </c>
      <c r="P25" s="12">
        <f>'Model output'!$B$17+'Model output'!$B$18*tips_table!$I25+'Model output'!$B$19*tips_table!$J25+'Model output'!$B$20*tips_table!$K25+'Model output'!$B$21*tips_table!$L25+'Model output'!$B$22*tips_table!$M25+'Model output'!$B$23*tips_table!$N25</f>
        <v>5.0671271450416331</v>
      </c>
      <c r="Q25" s="8">
        <f t="shared" si="3"/>
        <v>2.512872854958367</v>
      </c>
      <c r="R25" s="16">
        <f t="shared" si="4"/>
        <v>6.3145299851866143</v>
      </c>
      <c r="W25" s="1">
        <v>0.75944339705833919</v>
      </c>
      <c r="X25" s="1">
        <f>'Model output'!$B$18*tips_table!$I25</f>
        <v>3.7183538040686311E-2</v>
      </c>
      <c r="Y25" s="1">
        <f>'Model output'!$B$20*tips_table!$K25</f>
        <v>8.8727762736486165E-2</v>
      </c>
      <c r="Z25" s="1">
        <f>'Model output'!$B$19*tips_table!$J25</f>
        <v>-7.3687758526173666E-2</v>
      </c>
      <c r="AA25" s="1">
        <f>'Model output'!$B$21*tips_table!$L25</f>
        <v>-0.16049652843020407</v>
      </c>
      <c r="AB25" s="1">
        <f>'Model output'!$B$22*tips_table!$M25</f>
        <v>0.69573246429438729</v>
      </c>
      <c r="AC25" s="1">
        <f>'Model output'!$B$23*tips_table!$N25</f>
        <v>3.7202242698681118</v>
      </c>
      <c r="AD25" s="12">
        <f t="shared" si="5"/>
        <v>5.0671271450416331</v>
      </c>
    </row>
    <row r="26" spans="1:30" x14ac:dyDescent="0.3">
      <c r="A26" s="1" t="s">
        <v>11</v>
      </c>
      <c r="B26" s="1" t="s">
        <v>8</v>
      </c>
      <c r="C26" s="1" t="s">
        <v>12</v>
      </c>
      <c r="D26" s="1" t="s">
        <v>10</v>
      </c>
      <c r="E26" s="1">
        <v>2</v>
      </c>
      <c r="F26" s="12">
        <v>19.82</v>
      </c>
      <c r="G26" s="12">
        <v>3.18</v>
      </c>
      <c r="I26" s="1">
        <f t="shared" si="0"/>
        <v>1</v>
      </c>
      <c r="J26" s="1">
        <f t="shared" si="1"/>
        <v>1</v>
      </c>
      <c r="K26" s="1">
        <f t="shared" si="2"/>
        <v>1</v>
      </c>
      <c r="L26" s="1">
        <f t="shared" si="6"/>
        <v>3</v>
      </c>
      <c r="M26" s="1">
        <v>2</v>
      </c>
      <c r="N26" s="12">
        <v>19.82</v>
      </c>
      <c r="O26" s="12">
        <v>3.18</v>
      </c>
      <c r="P26" s="12">
        <f>'Model output'!$B$17+'Model output'!$B$18*tips_table!$I26+'Model output'!$B$19*tips_table!$J26+'Model output'!$B$20*tips_table!$K26+'Model output'!$B$21*tips_table!$L26+'Model output'!$B$22*tips_table!$M26+'Model output'!$B$23*tips_table!$N26</f>
        <v>2.8695299212806651</v>
      </c>
      <c r="Q26" s="8">
        <f t="shared" si="3"/>
        <v>0.31047007871933507</v>
      </c>
      <c r="R26" s="16">
        <f t="shared" si="4"/>
        <v>9.6391669779990113E-2</v>
      </c>
      <c r="W26" s="1">
        <v>0.75944339705833919</v>
      </c>
      <c r="X26" s="1">
        <f>'Model output'!$B$18*tips_table!$I26</f>
        <v>3.7183538040686311E-2</v>
      </c>
      <c r="Y26" s="1">
        <f>'Model output'!$B$20*tips_table!$K26</f>
        <v>8.8727762736486165E-2</v>
      </c>
      <c r="Z26" s="1">
        <f>'Model output'!$B$19*tips_table!$J26</f>
        <v>-7.3687758526173666E-2</v>
      </c>
      <c r="AA26" s="1">
        <f>'Model output'!$B$21*tips_table!$L26</f>
        <v>-0.16049652843020407</v>
      </c>
      <c r="AB26" s="1">
        <f>'Model output'!$B$22*tips_table!$M26</f>
        <v>0.34786623214719364</v>
      </c>
      <c r="AC26" s="1">
        <f>'Model output'!$B$23*tips_table!$N26</f>
        <v>1.8704932782543373</v>
      </c>
      <c r="AD26" s="12">
        <f t="shared" si="5"/>
        <v>2.8695299212806651</v>
      </c>
    </row>
    <row r="27" spans="1:30" x14ac:dyDescent="0.3">
      <c r="A27" s="1" t="s">
        <v>11</v>
      </c>
      <c r="B27" s="1" t="s">
        <v>8</v>
      </c>
      <c r="C27" s="1" t="s">
        <v>12</v>
      </c>
      <c r="D27" s="1" t="s">
        <v>10</v>
      </c>
      <c r="E27" s="1">
        <v>4</v>
      </c>
      <c r="F27" s="12">
        <v>17.809999999999999</v>
      </c>
      <c r="G27" s="12">
        <v>2.34</v>
      </c>
      <c r="I27" s="1">
        <f t="shared" si="0"/>
        <v>1</v>
      </c>
      <c r="J27" s="1">
        <f t="shared" si="1"/>
        <v>1</v>
      </c>
      <c r="K27" s="1">
        <f t="shared" si="2"/>
        <v>1</v>
      </c>
      <c r="L27" s="1">
        <f t="shared" si="6"/>
        <v>3</v>
      </c>
      <c r="M27" s="1">
        <v>4</v>
      </c>
      <c r="N27" s="12">
        <v>17.809999999999999</v>
      </c>
      <c r="O27" s="12">
        <v>2.34</v>
      </c>
      <c r="P27" s="12">
        <f>'Model output'!$B$17+'Model output'!$B$18*tips_table!$I27+'Model output'!$B$19*tips_table!$J27+'Model output'!$B$20*tips_table!$K27+'Model output'!$B$21*tips_table!$L27+'Model output'!$B$22*tips_table!$M27+'Model output'!$B$23*tips_table!$N27</f>
        <v>3.027704352757262</v>
      </c>
      <c r="Q27" s="8">
        <f t="shared" si="3"/>
        <v>-0.68770435275726216</v>
      </c>
      <c r="R27" s="16">
        <f t="shared" si="4"/>
        <v>0.47293727680128489</v>
      </c>
      <c r="W27" s="1">
        <v>0.75944339705833919</v>
      </c>
      <c r="X27" s="1">
        <f>'Model output'!$B$18*tips_table!$I27</f>
        <v>3.7183538040686311E-2</v>
      </c>
      <c r="Y27" s="1">
        <f>'Model output'!$B$20*tips_table!$K27</f>
        <v>8.8727762736486165E-2</v>
      </c>
      <c r="Z27" s="1">
        <f>'Model output'!$B$19*tips_table!$J27</f>
        <v>-7.3687758526173666E-2</v>
      </c>
      <c r="AA27" s="1">
        <f>'Model output'!$B$21*tips_table!$L27</f>
        <v>-0.16049652843020407</v>
      </c>
      <c r="AB27" s="1">
        <f>'Model output'!$B$22*tips_table!$M27</f>
        <v>0.69573246429438729</v>
      </c>
      <c r="AC27" s="1">
        <f>'Model output'!$B$23*tips_table!$N27</f>
        <v>1.6808014775837408</v>
      </c>
      <c r="AD27" s="12">
        <f t="shared" si="5"/>
        <v>3.027704352757262</v>
      </c>
    </row>
    <row r="28" spans="1:30" x14ac:dyDescent="0.3">
      <c r="A28" s="1" t="s">
        <v>11</v>
      </c>
      <c r="B28" s="1" t="s">
        <v>8</v>
      </c>
      <c r="C28" s="1" t="s">
        <v>12</v>
      </c>
      <c r="D28" s="1" t="s">
        <v>10</v>
      </c>
      <c r="E28" s="1">
        <v>2</v>
      </c>
      <c r="F28" s="12">
        <v>13.37</v>
      </c>
      <c r="G28" s="12">
        <v>2</v>
      </c>
      <c r="I28" s="1">
        <f t="shared" si="0"/>
        <v>1</v>
      </c>
      <c r="J28" s="1">
        <f t="shared" si="1"/>
        <v>1</v>
      </c>
      <c r="K28" s="1">
        <f t="shared" si="2"/>
        <v>1</v>
      </c>
      <c r="L28" s="1">
        <f t="shared" si="6"/>
        <v>3</v>
      </c>
      <c r="M28" s="1">
        <v>2</v>
      </c>
      <c r="N28" s="12">
        <v>13.37</v>
      </c>
      <c r="O28" s="12">
        <v>2</v>
      </c>
      <c r="P28" s="12">
        <f>'Model output'!$B$17+'Model output'!$B$18*tips_table!$I28+'Model output'!$B$19*tips_table!$J28+'Model output'!$B$20*tips_table!$K28+'Model output'!$B$21*tips_table!$L28+'Model output'!$B$22*tips_table!$M28+'Model output'!$B$23*tips_table!$N28</f>
        <v>2.260817426591438</v>
      </c>
      <c r="Q28" s="8">
        <f t="shared" si="3"/>
        <v>-0.26081742659143803</v>
      </c>
      <c r="R28" s="16">
        <f t="shared" si="4"/>
        <v>6.8025730013780164E-2</v>
      </c>
      <c r="W28" s="1">
        <v>0.75944339705833919</v>
      </c>
      <c r="X28" s="1">
        <f>'Model output'!$B$18*tips_table!$I28</f>
        <v>3.7183538040686311E-2</v>
      </c>
      <c r="Y28" s="1">
        <f>'Model output'!$B$20*tips_table!$K28</f>
        <v>8.8727762736486165E-2</v>
      </c>
      <c r="Z28" s="1">
        <f>'Model output'!$B$19*tips_table!$J28</f>
        <v>-7.3687758526173666E-2</v>
      </c>
      <c r="AA28" s="1">
        <f>'Model output'!$B$21*tips_table!$L28</f>
        <v>-0.16049652843020407</v>
      </c>
      <c r="AB28" s="1">
        <f>'Model output'!$B$22*tips_table!$M28</f>
        <v>0.34786623214719364</v>
      </c>
      <c r="AC28" s="1">
        <f>'Model output'!$B$23*tips_table!$N28</f>
        <v>1.2617807835651103</v>
      </c>
      <c r="AD28" s="12">
        <f t="shared" si="5"/>
        <v>2.260817426591438</v>
      </c>
    </row>
    <row r="29" spans="1:30" x14ac:dyDescent="0.3">
      <c r="A29" s="1" t="s">
        <v>11</v>
      </c>
      <c r="B29" s="1" t="s">
        <v>8</v>
      </c>
      <c r="C29" s="1" t="s">
        <v>12</v>
      </c>
      <c r="D29" s="1" t="s">
        <v>10</v>
      </c>
      <c r="E29" s="1">
        <v>2</v>
      </c>
      <c r="F29" s="12">
        <v>12.69</v>
      </c>
      <c r="G29" s="12">
        <v>2</v>
      </c>
      <c r="I29" s="1">
        <f t="shared" si="0"/>
        <v>1</v>
      </c>
      <c r="J29" s="1">
        <f t="shared" si="1"/>
        <v>1</v>
      </c>
      <c r="K29" s="1">
        <f t="shared" si="2"/>
        <v>1</v>
      </c>
      <c r="L29" s="1">
        <f t="shared" si="6"/>
        <v>3</v>
      </c>
      <c r="M29" s="1">
        <v>2</v>
      </c>
      <c r="N29" s="12">
        <v>12.69</v>
      </c>
      <c r="O29" s="12">
        <v>2</v>
      </c>
      <c r="P29" s="12">
        <f>'Model output'!$B$17+'Model output'!$B$18*tips_table!$I29+'Model output'!$B$19*tips_table!$J29+'Model output'!$B$20*tips_table!$K29+'Model output'!$B$21*tips_table!$L29+'Model output'!$B$22*tips_table!$M29+'Model output'!$B$23*tips_table!$N29</f>
        <v>2.1966430860660622</v>
      </c>
      <c r="Q29" s="8">
        <f t="shared" si="3"/>
        <v>-0.19664308606606218</v>
      </c>
      <c r="R29" s="16">
        <f t="shared" si="4"/>
        <v>3.8668503297584735E-2</v>
      </c>
      <c r="W29" s="1">
        <v>0.75944339705833919</v>
      </c>
      <c r="X29" s="1">
        <f>'Model output'!$B$18*tips_table!$I29</f>
        <v>3.7183538040686311E-2</v>
      </c>
      <c r="Y29" s="1">
        <f>'Model output'!$B$20*tips_table!$K29</f>
        <v>8.8727762736486165E-2</v>
      </c>
      <c r="Z29" s="1">
        <f>'Model output'!$B$19*tips_table!$J29</f>
        <v>-7.3687758526173666E-2</v>
      </c>
      <c r="AA29" s="1">
        <f>'Model output'!$B$21*tips_table!$L29</f>
        <v>-0.16049652843020407</v>
      </c>
      <c r="AB29" s="1">
        <f>'Model output'!$B$22*tips_table!$M29</f>
        <v>0.34786623214719364</v>
      </c>
      <c r="AC29" s="1">
        <f>'Model output'!$B$23*tips_table!$N29</f>
        <v>1.1976064430397346</v>
      </c>
      <c r="AD29" s="12">
        <f t="shared" si="5"/>
        <v>2.1966430860660622</v>
      </c>
    </row>
    <row r="30" spans="1:30" x14ac:dyDescent="0.3">
      <c r="A30" s="1" t="s">
        <v>11</v>
      </c>
      <c r="B30" s="1" t="s">
        <v>8</v>
      </c>
      <c r="C30" s="1" t="s">
        <v>12</v>
      </c>
      <c r="D30" s="1" t="s">
        <v>10</v>
      </c>
      <c r="E30" s="1">
        <v>2</v>
      </c>
      <c r="F30" s="12">
        <v>21.7</v>
      </c>
      <c r="G30" s="12">
        <v>4.3</v>
      </c>
      <c r="I30" s="1">
        <f t="shared" si="0"/>
        <v>1</v>
      </c>
      <c r="J30" s="1">
        <f t="shared" si="1"/>
        <v>1</v>
      </c>
      <c r="K30" s="1">
        <f t="shared" si="2"/>
        <v>1</v>
      </c>
      <c r="L30" s="1">
        <f t="shared" si="6"/>
        <v>3</v>
      </c>
      <c r="M30" s="1">
        <v>2</v>
      </c>
      <c r="N30" s="12">
        <v>21.7</v>
      </c>
      <c r="O30" s="12">
        <v>4.3</v>
      </c>
      <c r="P30" s="12">
        <f>'Model output'!$B$17+'Model output'!$B$18*tips_table!$I30+'Model output'!$B$19*tips_table!$J30+'Model output'!$B$20*tips_table!$K30+'Model output'!$B$21*tips_table!$L30+'Model output'!$B$22*tips_table!$M30+'Model output'!$B$23*tips_table!$N30</f>
        <v>3.0469530980272919</v>
      </c>
      <c r="Q30" s="8">
        <f t="shared" si="3"/>
        <v>1.253046901972708</v>
      </c>
      <c r="R30" s="16">
        <f t="shared" si="4"/>
        <v>1.5701265385434011</v>
      </c>
      <c r="W30" s="1">
        <v>0.75944339705833919</v>
      </c>
      <c r="X30" s="1">
        <f>'Model output'!$B$18*tips_table!$I30</f>
        <v>3.7183538040686311E-2</v>
      </c>
      <c r="Y30" s="1">
        <f>'Model output'!$B$20*tips_table!$K30</f>
        <v>8.8727762736486165E-2</v>
      </c>
      <c r="Z30" s="1">
        <f>'Model output'!$B$19*tips_table!$J30</f>
        <v>-7.3687758526173666E-2</v>
      </c>
      <c r="AA30" s="1">
        <f>'Model output'!$B$21*tips_table!$L30</f>
        <v>-0.16049652843020407</v>
      </c>
      <c r="AB30" s="1">
        <f>'Model output'!$B$22*tips_table!$M30</f>
        <v>0.34786623214719364</v>
      </c>
      <c r="AC30" s="1">
        <f>'Model output'!$B$23*tips_table!$N30</f>
        <v>2.0479164550009643</v>
      </c>
      <c r="AD30" s="12">
        <f t="shared" si="5"/>
        <v>3.0469530980272919</v>
      </c>
    </row>
    <row r="31" spans="1:30" x14ac:dyDescent="0.3">
      <c r="A31" s="1" t="s">
        <v>7</v>
      </c>
      <c r="B31" s="1" t="s">
        <v>8</v>
      </c>
      <c r="C31" s="1" t="s">
        <v>12</v>
      </c>
      <c r="D31" s="1" t="s">
        <v>10</v>
      </c>
      <c r="E31" s="1">
        <v>2</v>
      </c>
      <c r="F31" s="12">
        <v>19.649999999999999</v>
      </c>
      <c r="G31" s="12">
        <v>3</v>
      </c>
      <c r="I31" s="1">
        <f t="shared" si="0"/>
        <v>2</v>
      </c>
      <c r="J31" s="1">
        <f t="shared" si="1"/>
        <v>1</v>
      </c>
      <c r="K31" s="1">
        <f t="shared" si="2"/>
        <v>1</v>
      </c>
      <c r="L31" s="1">
        <f t="shared" si="6"/>
        <v>3</v>
      </c>
      <c r="M31" s="1">
        <v>2</v>
      </c>
      <c r="N31" s="12">
        <v>19.649999999999999</v>
      </c>
      <c r="O31" s="12">
        <v>3</v>
      </c>
      <c r="P31" s="12">
        <f>'Model output'!$B$17+'Model output'!$B$18*tips_table!$I31+'Model output'!$B$19*tips_table!$J31+'Model output'!$B$20*tips_table!$K31+'Model output'!$B$21*tips_table!$L31+'Model output'!$B$22*tips_table!$M31+'Model output'!$B$23*tips_table!$N31</f>
        <v>2.8906698741900074</v>
      </c>
      <c r="Q31" s="8">
        <f t="shared" si="3"/>
        <v>0.10933012580999257</v>
      </c>
      <c r="R31" s="16">
        <f t="shared" si="4"/>
        <v>1.1953076409628805E-2</v>
      </c>
      <c r="W31" s="1">
        <v>0.75944339705833919</v>
      </c>
      <c r="X31" s="1">
        <f>'Model output'!$B$18*tips_table!$I31</f>
        <v>7.4367076081372621E-2</v>
      </c>
      <c r="Y31" s="1">
        <f>'Model output'!$B$20*tips_table!$K31</f>
        <v>8.8727762736486165E-2</v>
      </c>
      <c r="Z31" s="1">
        <f>'Model output'!$B$19*tips_table!$J31</f>
        <v>-7.3687758526173666E-2</v>
      </c>
      <c r="AA31" s="1">
        <f>'Model output'!$B$21*tips_table!$L31</f>
        <v>-0.16049652843020407</v>
      </c>
      <c r="AB31" s="1">
        <f>'Model output'!$B$22*tips_table!$M31</f>
        <v>0.34786623214719364</v>
      </c>
      <c r="AC31" s="1">
        <f>'Model output'!$B$23*tips_table!$N31</f>
        <v>1.8544496931229932</v>
      </c>
      <c r="AD31" s="12">
        <f t="shared" si="5"/>
        <v>2.8906698741900074</v>
      </c>
    </row>
    <row r="32" spans="1:30" x14ac:dyDescent="0.3">
      <c r="A32" s="1" t="s">
        <v>11</v>
      </c>
      <c r="B32" s="1" t="s">
        <v>8</v>
      </c>
      <c r="C32" s="1" t="s">
        <v>12</v>
      </c>
      <c r="D32" s="1" t="s">
        <v>10</v>
      </c>
      <c r="E32" s="1">
        <v>2</v>
      </c>
      <c r="F32" s="12">
        <v>9.5500000000000007</v>
      </c>
      <c r="G32" s="12">
        <v>1.45</v>
      </c>
      <c r="I32" s="1">
        <f t="shared" si="0"/>
        <v>1</v>
      </c>
      <c r="J32" s="1">
        <f t="shared" si="1"/>
        <v>1</v>
      </c>
      <c r="K32" s="1">
        <f t="shared" si="2"/>
        <v>1</v>
      </c>
      <c r="L32" s="1">
        <f t="shared" si="6"/>
        <v>3</v>
      </c>
      <c r="M32" s="1">
        <v>2</v>
      </c>
      <c r="N32" s="12">
        <v>9.5500000000000007</v>
      </c>
      <c r="O32" s="12">
        <v>1.45</v>
      </c>
      <c r="P32" s="12">
        <f>'Model output'!$B$17+'Model output'!$B$18*tips_table!$I32+'Model output'!$B$19*tips_table!$J32+'Model output'!$B$20*tips_table!$K32+'Model output'!$B$21*tips_table!$L32+'Model output'!$B$22*tips_table!$M32+'Model output'!$B$23*tips_table!$N32</f>
        <v>1.9003086312871207</v>
      </c>
      <c r="Q32" s="8">
        <f t="shared" si="3"/>
        <v>-0.45030863128712073</v>
      </c>
      <c r="R32" s="16">
        <f t="shared" si="4"/>
        <v>0.20277786341168005</v>
      </c>
      <c r="W32" s="1">
        <v>0.75944339705833919</v>
      </c>
      <c r="X32" s="1">
        <f>'Model output'!$B$18*tips_table!$I32</f>
        <v>3.7183538040686311E-2</v>
      </c>
      <c r="Y32" s="1">
        <f>'Model output'!$B$20*tips_table!$K32</f>
        <v>8.8727762736486165E-2</v>
      </c>
      <c r="Z32" s="1">
        <f>'Model output'!$B$19*tips_table!$J32</f>
        <v>-7.3687758526173666E-2</v>
      </c>
      <c r="AA32" s="1">
        <f>'Model output'!$B$21*tips_table!$L32</f>
        <v>-0.16049652843020407</v>
      </c>
      <c r="AB32" s="1">
        <f>'Model output'!$B$22*tips_table!$M32</f>
        <v>0.34786623214719364</v>
      </c>
      <c r="AC32" s="1">
        <f>'Model output'!$B$23*tips_table!$N32</f>
        <v>0.90127198826079324</v>
      </c>
      <c r="AD32" s="12">
        <f t="shared" si="5"/>
        <v>1.9003086312871207</v>
      </c>
    </row>
    <row r="33" spans="1:30" x14ac:dyDescent="0.3">
      <c r="A33" s="1" t="s">
        <v>11</v>
      </c>
      <c r="B33" s="1" t="s">
        <v>8</v>
      </c>
      <c r="C33" s="1" t="s">
        <v>12</v>
      </c>
      <c r="D33" s="1" t="s">
        <v>10</v>
      </c>
      <c r="E33" s="1">
        <v>4</v>
      </c>
      <c r="F33" s="12">
        <v>18.350000000000001</v>
      </c>
      <c r="G33" s="12">
        <v>2.5</v>
      </c>
      <c r="I33" s="1">
        <f t="shared" si="0"/>
        <v>1</v>
      </c>
      <c r="J33" s="1">
        <f t="shared" si="1"/>
        <v>1</v>
      </c>
      <c r="K33" s="1">
        <f t="shared" si="2"/>
        <v>1</v>
      </c>
      <c r="L33" s="1">
        <f t="shared" si="6"/>
        <v>3</v>
      </c>
      <c r="M33" s="1">
        <v>4</v>
      </c>
      <c r="N33" s="12">
        <v>18.350000000000001</v>
      </c>
      <c r="O33" s="12">
        <v>2.5</v>
      </c>
      <c r="P33" s="12">
        <f>'Model output'!$B$17+'Model output'!$B$18*tips_table!$I33+'Model output'!$B$19*tips_table!$J33+'Model output'!$B$20*tips_table!$K33+'Model output'!$B$21*tips_table!$L33+'Model output'!$B$22*tips_table!$M33+'Model output'!$B$23*tips_table!$N33</f>
        <v>3.0786663290568255</v>
      </c>
      <c r="Q33" s="8">
        <f t="shared" si="3"/>
        <v>-0.57866632905682547</v>
      </c>
      <c r="R33" s="16">
        <f t="shared" si="4"/>
        <v>0.33485472038410219</v>
      </c>
      <c r="W33" s="1">
        <v>0.75944339705833919</v>
      </c>
      <c r="X33" s="1">
        <f>'Model output'!$B$18*tips_table!$I33</f>
        <v>3.7183538040686311E-2</v>
      </c>
      <c r="Y33" s="1">
        <f>'Model output'!$B$20*tips_table!$K33</f>
        <v>8.8727762736486165E-2</v>
      </c>
      <c r="Z33" s="1">
        <f>'Model output'!$B$19*tips_table!$J33</f>
        <v>-7.3687758526173666E-2</v>
      </c>
      <c r="AA33" s="1">
        <f>'Model output'!$B$21*tips_table!$L33</f>
        <v>-0.16049652843020407</v>
      </c>
      <c r="AB33" s="1">
        <f>'Model output'!$B$22*tips_table!$M33</f>
        <v>0.69573246429438729</v>
      </c>
      <c r="AC33" s="1">
        <f>'Model output'!$B$23*tips_table!$N33</f>
        <v>1.7317634538833042</v>
      </c>
      <c r="AD33" s="12">
        <f t="shared" si="5"/>
        <v>3.0786663290568255</v>
      </c>
    </row>
    <row r="34" spans="1:30" x14ac:dyDescent="0.3">
      <c r="A34" s="1" t="s">
        <v>7</v>
      </c>
      <c r="B34" s="1" t="s">
        <v>8</v>
      </c>
      <c r="C34" s="1" t="s">
        <v>12</v>
      </c>
      <c r="D34" s="1" t="s">
        <v>10</v>
      </c>
      <c r="E34" s="1">
        <v>2</v>
      </c>
      <c r="F34" s="12">
        <v>15.06</v>
      </c>
      <c r="G34" s="12">
        <v>3</v>
      </c>
      <c r="I34" s="1">
        <f t="shared" si="0"/>
        <v>2</v>
      </c>
      <c r="J34" s="1">
        <f t="shared" si="1"/>
        <v>1</v>
      </c>
      <c r="K34" s="1">
        <f t="shared" si="2"/>
        <v>1</v>
      </c>
      <c r="L34" s="1">
        <f t="shared" si="6"/>
        <v>3</v>
      </c>
      <c r="M34" s="1">
        <v>2</v>
      </c>
      <c r="N34" s="12">
        <v>15.06</v>
      </c>
      <c r="O34" s="12">
        <v>3</v>
      </c>
      <c r="P34" s="12">
        <f>'Model output'!$B$17+'Model output'!$B$18*tips_table!$I34+'Model output'!$B$19*tips_table!$J34+'Model output'!$B$20*tips_table!$K34+'Model output'!$B$21*tips_table!$L34+'Model output'!$B$22*tips_table!$M34+'Model output'!$B$23*tips_table!$N34</f>
        <v>2.4574930756437201</v>
      </c>
      <c r="Q34" s="8">
        <f t="shared" si="3"/>
        <v>0.5425069243562799</v>
      </c>
      <c r="R34" s="16">
        <f t="shared" si="4"/>
        <v>0.2943137629745104</v>
      </c>
      <c r="W34" s="1">
        <v>0.75944339705833919</v>
      </c>
      <c r="X34" s="1">
        <f>'Model output'!$B$18*tips_table!$I34</f>
        <v>7.4367076081372621E-2</v>
      </c>
      <c r="Y34" s="1">
        <f>'Model output'!$B$20*tips_table!$K34</f>
        <v>8.8727762736486165E-2</v>
      </c>
      <c r="Z34" s="1">
        <f>'Model output'!$B$19*tips_table!$J34</f>
        <v>-7.3687758526173666E-2</v>
      </c>
      <c r="AA34" s="1">
        <f>'Model output'!$B$21*tips_table!$L34</f>
        <v>-0.16049652843020407</v>
      </c>
      <c r="AB34" s="1">
        <f>'Model output'!$B$22*tips_table!$M34</f>
        <v>0.34786623214719364</v>
      </c>
      <c r="AC34" s="1">
        <f>'Model output'!$B$23*tips_table!$N34</f>
        <v>1.4212728945767064</v>
      </c>
      <c r="AD34" s="12">
        <f t="shared" si="5"/>
        <v>2.4574930756437201</v>
      </c>
    </row>
    <row r="35" spans="1:30" x14ac:dyDescent="0.3">
      <c r="A35" s="1" t="s">
        <v>7</v>
      </c>
      <c r="B35" s="1" t="s">
        <v>8</v>
      </c>
      <c r="C35" s="1" t="s">
        <v>12</v>
      </c>
      <c r="D35" s="1" t="s">
        <v>10</v>
      </c>
      <c r="E35" s="1">
        <v>4</v>
      </c>
      <c r="F35" s="12">
        <v>20.69</v>
      </c>
      <c r="G35" s="12">
        <v>2.4500000000000002</v>
      </c>
      <c r="I35" s="1">
        <f t="shared" si="0"/>
        <v>2</v>
      </c>
      <c r="J35" s="1">
        <f t="shared" si="1"/>
        <v>1</v>
      </c>
      <c r="K35" s="1">
        <f t="shared" si="2"/>
        <v>1</v>
      </c>
      <c r="L35" s="1">
        <f t="shared" si="6"/>
        <v>3</v>
      </c>
      <c r="M35" s="1">
        <v>4</v>
      </c>
      <c r="N35" s="12">
        <v>20.69</v>
      </c>
      <c r="O35" s="12">
        <v>2.4500000000000002</v>
      </c>
      <c r="P35" s="12">
        <f>'Model output'!$B$17+'Model output'!$B$18*tips_table!$I35+'Model output'!$B$19*tips_table!$J35+'Model output'!$B$20*tips_table!$K35+'Model output'!$B$21*tips_table!$L35+'Model output'!$B$22*tips_table!$M35+'Model output'!$B$23*tips_table!$N35</f>
        <v>3.3366850977289522</v>
      </c>
      <c r="Q35" s="8">
        <f t="shared" si="3"/>
        <v>-0.88668509772895199</v>
      </c>
      <c r="R35" s="16">
        <f t="shared" si="4"/>
        <v>0.78621046253460114</v>
      </c>
      <c r="W35" s="1">
        <v>0.75944339705833919</v>
      </c>
      <c r="X35" s="1">
        <f>'Model output'!$B$18*tips_table!$I35</f>
        <v>7.4367076081372621E-2</v>
      </c>
      <c r="Y35" s="1">
        <f>'Model output'!$B$20*tips_table!$K35</f>
        <v>8.8727762736486165E-2</v>
      </c>
      <c r="Z35" s="1">
        <f>'Model output'!$B$19*tips_table!$J35</f>
        <v>-7.3687758526173666E-2</v>
      </c>
      <c r="AA35" s="1">
        <f>'Model output'!$B$21*tips_table!$L35</f>
        <v>-0.16049652843020407</v>
      </c>
      <c r="AB35" s="1">
        <f>'Model output'!$B$22*tips_table!$M35</f>
        <v>0.69573246429438729</v>
      </c>
      <c r="AC35" s="1">
        <f>'Model output'!$B$23*tips_table!$N35</f>
        <v>1.9525986845147447</v>
      </c>
      <c r="AD35" s="12">
        <f t="shared" si="5"/>
        <v>3.3366850977289522</v>
      </c>
    </row>
    <row r="36" spans="1:30" x14ac:dyDescent="0.3">
      <c r="A36" s="1" t="s">
        <v>11</v>
      </c>
      <c r="B36" s="1" t="s">
        <v>8</v>
      </c>
      <c r="C36" s="1" t="s">
        <v>12</v>
      </c>
      <c r="D36" s="1" t="s">
        <v>10</v>
      </c>
      <c r="E36" s="1">
        <v>2</v>
      </c>
      <c r="F36" s="12">
        <v>17.78</v>
      </c>
      <c r="G36" s="12">
        <v>3.27</v>
      </c>
      <c r="I36" s="1">
        <f t="shared" si="0"/>
        <v>1</v>
      </c>
      <c r="J36" s="1">
        <f t="shared" si="1"/>
        <v>1</v>
      </c>
      <c r="K36" s="1">
        <f t="shared" si="2"/>
        <v>1</v>
      </c>
      <c r="L36" s="1">
        <f t="shared" si="6"/>
        <v>3</v>
      </c>
      <c r="M36" s="1">
        <v>2</v>
      </c>
      <c r="N36" s="12">
        <v>17.78</v>
      </c>
      <c r="O36" s="12">
        <v>3.27</v>
      </c>
      <c r="P36" s="12">
        <f>'Model output'!$B$17+'Model output'!$B$18*tips_table!$I36+'Model output'!$B$19*tips_table!$J36+'Model output'!$B$20*tips_table!$K36+'Model output'!$B$21*tips_table!$L36+'Model output'!$B$22*tips_table!$M36+'Model output'!$B$23*tips_table!$N36</f>
        <v>2.6770068997045371</v>
      </c>
      <c r="Q36" s="8">
        <f t="shared" si="3"/>
        <v>0.59299310029546293</v>
      </c>
      <c r="R36" s="16">
        <f t="shared" si="4"/>
        <v>0.35164081699802496</v>
      </c>
      <c r="W36" s="1">
        <v>0.75944339705833919</v>
      </c>
      <c r="X36" s="1">
        <f>'Model output'!$B$18*tips_table!$I36</f>
        <v>3.7183538040686311E-2</v>
      </c>
      <c r="Y36" s="1">
        <f>'Model output'!$B$20*tips_table!$K36</f>
        <v>8.8727762736486165E-2</v>
      </c>
      <c r="Z36" s="1">
        <f>'Model output'!$B$19*tips_table!$J36</f>
        <v>-7.3687758526173666E-2</v>
      </c>
      <c r="AA36" s="1">
        <f>'Model output'!$B$21*tips_table!$L36</f>
        <v>-0.16049652843020407</v>
      </c>
      <c r="AB36" s="1">
        <f>'Model output'!$B$22*tips_table!$M36</f>
        <v>0.34786623214719364</v>
      </c>
      <c r="AC36" s="1">
        <f>'Model output'!$B$23*tips_table!$N36</f>
        <v>1.6779702566782098</v>
      </c>
      <c r="AD36" s="12">
        <f t="shared" si="5"/>
        <v>2.6770068997045371</v>
      </c>
    </row>
    <row r="37" spans="1:30" x14ac:dyDescent="0.3">
      <c r="A37" s="1" t="s">
        <v>11</v>
      </c>
      <c r="B37" s="1" t="s">
        <v>8</v>
      </c>
      <c r="C37" s="1" t="s">
        <v>12</v>
      </c>
      <c r="D37" s="1" t="s">
        <v>10</v>
      </c>
      <c r="E37" s="1">
        <v>3</v>
      </c>
      <c r="F37" s="12">
        <v>24.06</v>
      </c>
      <c r="G37" s="12">
        <v>3.6</v>
      </c>
      <c r="I37" s="1">
        <f t="shared" si="0"/>
        <v>1</v>
      </c>
      <c r="J37" s="1">
        <f t="shared" si="1"/>
        <v>1</v>
      </c>
      <c r="K37" s="1">
        <f t="shared" si="2"/>
        <v>1</v>
      </c>
      <c r="L37" s="1">
        <f t="shared" si="6"/>
        <v>3</v>
      </c>
      <c r="M37" s="1">
        <v>3</v>
      </c>
      <c r="N37" s="12">
        <v>24.06</v>
      </c>
      <c r="O37" s="12">
        <v>3.6</v>
      </c>
      <c r="P37" s="12">
        <f>'Model output'!$B$17+'Model output'!$B$18*tips_table!$I37+'Model output'!$B$19*tips_table!$J37+'Model output'!$B$20*tips_table!$K37+'Model output'!$B$21*tips_table!$L37+'Model output'!$B$22*tips_table!$M37+'Model output'!$B$23*tips_table!$N37</f>
        <v>3.4436089253360169</v>
      </c>
      <c r="Q37" s="8">
        <f t="shared" si="3"/>
        <v>0.15639107466398317</v>
      </c>
      <c r="R37" s="16">
        <f t="shared" si="4"/>
        <v>2.4458168234555558E-2</v>
      </c>
      <c r="W37" s="1">
        <v>0.75944339705833919</v>
      </c>
      <c r="X37" s="1">
        <f>'Model output'!$B$18*tips_table!$I37</f>
        <v>3.7183538040686311E-2</v>
      </c>
      <c r="Y37" s="1">
        <f>'Model output'!$B$20*tips_table!$K37</f>
        <v>8.8727762736486165E-2</v>
      </c>
      <c r="Z37" s="1">
        <f>'Model output'!$B$19*tips_table!$J37</f>
        <v>-7.3687758526173666E-2</v>
      </c>
      <c r="AA37" s="1">
        <f>'Model output'!$B$21*tips_table!$L37</f>
        <v>-0.16049652843020407</v>
      </c>
      <c r="AB37" s="1">
        <f>'Model output'!$B$22*tips_table!$M37</f>
        <v>0.52179934822079044</v>
      </c>
      <c r="AC37" s="1">
        <f>'Model output'!$B$23*tips_table!$N37</f>
        <v>2.2706391662360925</v>
      </c>
      <c r="AD37" s="12">
        <f t="shared" si="5"/>
        <v>3.4436089253360169</v>
      </c>
    </row>
    <row r="38" spans="1:30" x14ac:dyDescent="0.3">
      <c r="A38" s="1" t="s">
        <v>11</v>
      </c>
      <c r="B38" s="1" t="s">
        <v>8</v>
      </c>
      <c r="C38" s="1" t="s">
        <v>12</v>
      </c>
      <c r="D38" s="1" t="s">
        <v>10</v>
      </c>
      <c r="E38" s="1">
        <v>3</v>
      </c>
      <c r="F38" s="12">
        <v>16.309999999999999</v>
      </c>
      <c r="G38" s="12">
        <v>2</v>
      </c>
      <c r="I38" s="1">
        <f t="shared" si="0"/>
        <v>1</v>
      </c>
      <c r="J38" s="1">
        <f t="shared" si="1"/>
        <v>1</v>
      </c>
      <c r="K38" s="1">
        <f t="shared" si="2"/>
        <v>1</v>
      </c>
      <c r="L38" s="1">
        <f t="shared" si="6"/>
        <v>3</v>
      </c>
      <c r="M38" s="1">
        <v>3</v>
      </c>
      <c r="N38" s="12">
        <v>16.309999999999999</v>
      </c>
      <c r="O38" s="12">
        <v>2</v>
      </c>
      <c r="P38" s="12">
        <f>'Model output'!$B$17+'Model output'!$B$18*tips_table!$I38+'Model output'!$B$19*tips_table!$J38+'Model output'!$B$20*tips_table!$K38+'Model output'!$B$21*tips_table!$L38+'Model output'!$B$22*tips_table!$M38+'Model output'!$B$23*tips_table!$N38</f>
        <v>2.7122101914071006</v>
      </c>
      <c r="Q38" s="8">
        <f t="shared" si="3"/>
        <v>-0.71221019140710062</v>
      </c>
      <c r="R38" s="16">
        <f t="shared" si="4"/>
        <v>0.5072433567441389</v>
      </c>
      <c r="W38" s="1">
        <v>0.75944339705833919</v>
      </c>
      <c r="X38" s="1">
        <f>'Model output'!$B$18*tips_table!$I38</f>
        <v>3.7183538040686311E-2</v>
      </c>
      <c r="Y38" s="1">
        <f>'Model output'!$B$20*tips_table!$K38</f>
        <v>8.8727762736486165E-2</v>
      </c>
      <c r="Z38" s="1">
        <f>'Model output'!$B$19*tips_table!$J38</f>
        <v>-7.3687758526173666E-2</v>
      </c>
      <c r="AA38" s="1">
        <f>'Model output'!$B$21*tips_table!$L38</f>
        <v>-0.16049652843020407</v>
      </c>
      <c r="AB38" s="1">
        <f>'Model output'!$B$22*tips_table!$M38</f>
        <v>0.52179934822079044</v>
      </c>
      <c r="AC38" s="1">
        <f>'Model output'!$B$23*tips_table!$N38</f>
        <v>1.5392404323071764</v>
      </c>
      <c r="AD38" s="12">
        <f t="shared" si="5"/>
        <v>2.7122101914071006</v>
      </c>
    </row>
    <row r="39" spans="1:30" x14ac:dyDescent="0.3">
      <c r="A39" s="1" t="s">
        <v>7</v>
      </c>
      <c r="B39" s="1" t="s">
        <v>8</v>
      </c>
      <c r="C39" s="1" t="s">
        <v>12</v>
      </c>
      <c r="D39" s="1" t="s">
        <v>10</v>
      </c>
      <c r="E39" s="1">
        <v>3</v>
      </c>
      <c r="F39" s="12">
        <v>16.93</v>
      </c>
      <c r="G39" s="12">
        <v>3.07</v>
      </c>
      <c r="I39" s="1">
        <f t="shared" si="0"/>
        <v>2</v>
      </c>
      <c r="J39" s="1">
        <f t="shared" si="1"/>
        <v>1</v>
      </c>
      <c r="K39" s="1">
        <f t="shared" si="2"/>
        <v>1</v>
      </c>
      <c r="L39" s="1">
        <f t="shared" si="6"/>
        <v>3</v>
      </c>
      <c r="M39" s="1">
        <v>3</v>
      </c>
      <c r="N39" s="12">
        <v>16.93</v>
      </c>
      <c r="O39" s="12">
        <v>3.07</v>
      </c>
      <c r="P39" s="12">
        <f>'Model output'!$B$17+'Model output'!$B$18*tips_table!$I39+'Model output'!$B$19*tips_table!$J39+'Model output'!$B$20*tips_table!$K39+'Model output'!$B$21*tips_table!$L39+'Model output'!$B$22*tips_table!$M39+'Model output'!$B$23*tips_table!$N39</f>
        <v>2.8079056281621009</v>
      </c>
      <c r="Q39" s="8">
        <f t="shared" si="3"/>
        <v>0.26209437183789897</v>
      </c>
      <c r="R39" s="16">
        <f t="shared" si="4"/>
        <v>6.8693459749102848E-2</v>
      </c>
      <c r="W39" s="1">
        <v>0.75944339705833919</v>
      </c>
      <c r="X39" s="1">
        <f>'Model output'!$B$18*tips_table!$I39</f>
        <v>7.4367076081372621E-2</v>
      </c>
      <c r="Y39" s="1">
        <f>'Model output'!$B$20*tips_table!$K39</f>
        <v>8.8727762736486165E-2</v>
      </c>
      <c r="Z39" s="1">
        <f>'Model output'!$B$19*tips_table!$J39</f>
        <v>-7.3687758526173666E-2</v>
      </c>
      <c r="AA39" s="1">
        <f>'Model output'!$B$21*tips_table!$L39</f>
        <v>-0.16049652843020407</v>
      </c>
      <c r="AB39" s="1">
        <f>'Model output'!$B$22*tips_table!$M39</f>
        <v>0.52179934822079044</v>
      </c>
      <c r="AC39" s="1">
        <f>'Model output'!$B$23*tips_table!$N39</f>
        <v>1.5977523310214898</v>
      </c>
      <c r="AD39" s="12">
        <f t="shared" si="5"/>
        <v>2.8079056281621009</v>
      </c>
    </row>
    <row r="40" spans="1:30" x14ac:dyDescent="0.3">
      <c r="A40" s="1" t="s">
        <v>11</v>
      </c>
      <c r="B40" s="1" t="s">
        <v>8</v>
      </c>
      <c r="C40" s="1" t="s">
        <v>12</v>
      </c>
      <c r="D40" s="1" t="s">
        <v>10</v>
      </c>
      <c r="E40" s="1">
        <v>3</v>
      </c>
      <c r="F40" s="12">
        <v>18.690000000000001</v>
      </c>
      <c r="G40" s="12">
        <v>2.31</v>
      </c>
      <c r="I40" s="1">
        <f t="shared" si="0"/>
        <v>1</v>
      </c>
      <c r="J40" s="1">
        <f t="shared" si="1"/>
        <v>1</v>
      </c>
      <c r="K40" s="1">
        <f t="shared" si="2"/>
        <v>1</v>
      </c>
      <c r="L40" s="1">
        <f t="shared" si="6"/>
        <v>3</v>
      </c>
      <c r="M40" s="1">
        <v>3</v>
      </c>
      <c r="N40" s="12">
        <v>18.690000000000001</v>
      </c>
      <c r="O40" s="12">
        <v>2.31</v>
      </c>
      <c r="P40" s="12">
        <f>'Model output'!$B$17+'Model output'!$B$18*tips_table!$I40+'Model output'!$B$19*tips_table!$J40+'Model output'!$B$20*tips_table!$K40+'Model output'!$B$21*tips_table!$L40+'Model output'!$B$22*tips_table!$M40+'Model output'!$B$23*tips_table!$N40</f>
        <v>2.9368203832459168</v>
      </c>
      <c r="Q40" s="8">
        <f t="shared" si="3"/>
        <v>-0.62682038324591671</v>
      </c>
      <c r="R40" s="16">
        <f t="shared" si="4"/>
        <v>0.39290379285255789</v>
      </c>
      <c r="W40" s="1">
        <v>0.75944339705833919</v>
      </c>
      <c r="X40" s="1">
        <f>'Model output'!$B$18*tips_table!$I40</f>
        <v>3.7183538040686311E-2</v>
      </c>
      <c r="Y40" s="1">
        <f>'Model output'!$B$20*tips_table!$K40</f>
        <v>8.8727762736486165E-2</v>
      </c>
      <c r="Z40" s="1">
        <f>'Model output'!$B$19*tips_table!$J40</f>
        <v>-7.3687758526173666E-2</v>
      </c>
      <c r="AA40" s="1">
        <f>'Model output'!$B$21*tips_table!$L40</f>
        <v>-0.16049652843020407</v>
      </c>
      <c r="AB40" s="1">
        <f>'Model output'!$B$22*tips_table!$M40</f>
        <v>0.52179934822079044</v>
      </c>
      <c r="AC40" s="1">
        <f>'Model output'!$B$23*tips_table!$N40</f>
        <v>1.7638506241459921</v>
      </c>
      <c r="AD40" s="12">
        <f t="shared" si="5"/>
        <v>2.9368203832459168</v>
      </c>
    </row>
    <row r="41" spans="1:30" x14ac:dyDescent="0.3">
      <c r="A41" s="1" t="s">
        <v>11</v>
      </c>
      <c r="B41" s="1" t="s">
        <v>8</v>
      </c>
      <c r="C41" s="1" t="s">
        <v>12</v>
      </c>
      <c r="D41" s="1" t="s">
        <v>10</v>
      </c>
      <c r="E41" s="1">
        <v>3</v>
      </c>
      <c r="F41" s="12">
        <v>31.27</v>
      </c>
      <c r="G41" s="12">
        <v>5</v>
      </c>
      <c r="I41" s="1">
        <f t="shared" si="0"/>
        <v>1</v>
      </c>
      <c r="J41" s="1">
        <f t="shared" si="1"/>
        <v>1</v>
      </c>
      <c r="K41" s="1">
        <f t="shared" si="2"/>
        <v>1</v>
      </c>
      <c r="L41" s="1">
        <f t="shared" si="6"/>
        <v>3</v>
      </c>
      <c r="M41" s="1">
        <v>3</v>
      </c>
      <c r="N41" s="12">
        <v>31.27</v>
      </c>
      <c r="O41" s="12">
        <v>5</v>
      </c>
      <c r="P41" s="12">
        <f>'Model output'!$B$17+'Model output'!$B$18*tips_table!$I41+'Model output'!$B$19*tips_table!$J41+'Model output'!$B$20*tips_table!$K41+'Model output'!$B$21*tips_table!$L41+'Model output'!$B$22*tips_table!$M41+'Model output'!$B$23*tips_table!$N41</f>
        <v>4.1240456829653702</v>
      </c>
      <c r="Q41" s="8">
        <f t="shared" si="3"/>
        <v>0.87595431703462978</v>
      </c>
      <c r="R41" s="16">
        <f t="shared" si="4"/>
        <v>0.76729596553160473</v>
      </c>
      <c r="W41" s="1">
        <v>0.75944339705833919</v>
      </c>
      <c r="X41" s="1">
        <f>'Model output'!$B$18*tips_table!$I41</f>
        <v>3.7183538040686311E-2</v>
      </c>
      <c r="Y41" s="1">
        <f>'Model output'!$B$20*tips_table!$K41</f>
        <v>8.8727762736486165E-2</v>
      </c>
      <c r="Z41" s="1">
        <f>'Model output'!$B$19*tips_table!$J41</f>
        <v>-7.3687758526173666E-2</v>
      </c>
      <c r="AA41" s="1">
        <f>'Model output'!$B$21*tips_table!$L41</f>
        <v>-0.16049652843020407</v>
      </c>
      <c r="AB41" s="1">
        <f>'Model output'!$B$22*tips_table!$M41</f>
        <v>0.52179934822079044</v>
      </c>
      <c r="AC41" s="1">
        <f>'Model output'!$B$23*tips_table!$N41</f>
        <v>2.9510759238654454</v>
      </c>
      <c r="AD41" s="12">
        <f t="shared" si="5"/>
        <v>4.1240456829653702</v>
      </c>
    </row>
    <row r="42" spans="1:30" x14ac:dyDescent="0.3">
      <c r="A42" s="1" t="s">
        <v>11</v>
      </c>
      <c r="B42" s="1" t="s">
        <v>8</v>
      </c>
      <c r="C42" s="1" t="s">
        <v>12</v>
      </c>
      <c r="D42" s="1" t="s">
        <v>10</v>
      </c>
      <c r="E42" s="1">
        <v>3</v>
      </c>
      <c r="F42" s="12">
        <v>16.04</v>
      </c>
      <c r="G42" s="12">
        <v>2.2400000000000002</v>
      </c>
      <c r="I42" s="1">
        <f t="shared" si="0"/>
        <v>1</v>
      </c>
      <c r="J42" s="1">
        <f t="shared" si="1"/>
        <v>1</v>
      </c>
      <c r="K42" s="1">
        <f t="shared" si="2"/>
        <v>1</v>
      </c>
      <c r="L42" s="1">
        <f t="shared" si="6"/>
        <v>3</v>
      </c>
      <c r="M42" s="1">
        <v>3</v>
      </c>
      <c r="N42" s="12">
        <v>16.04</v>
      </c>
      <c r="O42" s="12">
        <v>2.2400000000000002</v>
      </c>
      <c r="P42" s="12">
        <f>'Model output'!$B$17+'Model output'!$B$18*tips_table!$I42+'Model output'!$B$19*tips_table!$J42+'Model output'!$B$20*tips_table!$K42+'Model output'!$B$21*tips_table!$L42+'Model output'!$B$22*tips_table!$M42+'Model output'!$B$23*tips_table!$N42</f>
        <v>2.6867292032573191</v>
      </c>
      <c r="Q42" s="8">
        <f t="shared" si="3"/>
        <v>-0.44672920325731891</v>
      </c>
      <c r="R42" s="16">
        <f t="shared" si="4"/>
        <v>0.19956698104291895</v>
      </c>
      <c r="W42" s="1">
        <v>0.75944339705833919</v>
      </c>
      <c r="X42" s="1">
        <f>'Model output'!$B$18*tips_table!$I42</f>
        <v>3.7183538040686311E-2</v>
      </c>
      <c r="Y42" s="1">
        <f>'Model output'!$B$20*tips_table!$K42</f>
        <v>8.8727762736486165E-2</v>
      </c>
      <c r="Z42" s="1">
        <f>'Model output'!$B$19*tips_table!$J42</f>
        <v>-7.3687758526173666E-2</v>
      </c>
      <c r="AA42" s="1">
        <f>'Model output'!$B$21*tips_table!$L42</f>
        <v>-0.16049652843020407</v>
      </c>
      <c r="AB42" s="1">
        <f>'Model output'!$B$22*tips_table!$M42</f>
        <v>0.52179934822079044</v>
      </c>
      <c r="AC42" s="1">
        <f>'Model output'!$B$23*tips_table!$N42</f>
        <v>1.5137594441573949</v>
      </c>
      <c r="AD42" s="12">
        <f t="shared" si="5"/>
        <v>2.6867292032573191</v>
      </c>
    </row>
    <row r="43" spans="1:30" x14ac:dyDescent="0.3">
      <c r="A43" s="1" t="s">
        <v>11</v>
      </c>
      <c r="B43" s="1" t="s">
        <v>8</v>
      </c>
      <c r="C43" s="1" t="s">
        <v>9</v>
      </c>
      <c r="D43" s="1" t="s">
        <v>10</v>
      </c>
      <c r="E43" s="1">
        <v>2</v>
      </c>
      <c r="F43" s="12">
        <v>17.46</v>
      </c>
      <c r="G43" s="12">
        <v>2.54</v>
      </c>
      <c r="I43" s="1">
        <f t="shared" si="0"/>
        <v>1</v>
      </c>
      <c r="J43" s="1">
        <f t="shared" si="1"/>
        <v>1</v>
      </c>
      <c r="K43" s="1">
        <f t="shared" si="2"/>
        <v>1</v>
      </c>
      <c r="L43" s="1">
        <f t="shared" si="6"/>
        <v>1</v>
      </c>
      <c r="M43" s="1">
        <v>2</v>
      </c>
      <c r="N43" s="12">
        <v>17.46</v>
      </c>
      <c r="O43" s="12">
        <v>2.54</v>
      </c>
      <c r="P43" s="12">
        <f>'Model output'!$B$17+'Model output'!$B$18*tips_table!$I43+'Model output'!$B$19*tips_table!$J43+'Model output'!$B$20*tips_table!$K43+'Model output'!$B$21*tips_table!$L43+'Model output'!$B$22*tips_table!$M43+'Model output'!$B$23*tips_table!$N43</f>
        <v>2.7538048956656729</v>
      </c>
      <c r="Q43" s="8">
        <f t="shared" si="3"/>
        <v>-0.21380489566567284</v>
      </c>
      <c r="R43" s="16">
        <f t="shared" si="4"/>
        <v>4.5712533410609248E-2</v>
      </c>
      <c r="W43" s="1">
        <v>0.75944339705833919</v>
      </c>
      <c r="X43" s="1">
        <f>'Model output'!$B$18*tips_table!$I43</f>
        <v>3.7183538040686311E-2</v>
      </c>
      <c r="Y43" s="1">
        <f>'Model output'!$B$20*tips_table!$K43</f>
        <v>8.8727762736486165E-2</v>
      </c>
      <c r="Z43" s="1">
        <f>'Model output'!$B$19*tips_table!$J43</f>
        <v>-7.3687758526173666E-2</v>
      </c>
      <c r="AA43" s="1">
        <f>'Model output'!$B$21*tips_table!$L43</f>
        <v>-5.3498842810068024E-2</v>
      </c>
      <c r="AB43" s="1">
        <f>'Model output'!$B$22*tips_table!$M43</f>
        <v>0.34786623214719364</v>
      </c>
      <c r="AC43" s="1">
        <f>'Model output'!$B$23*tips_table!$N43</f>
        <v>1.6477705670192093</v>
      </c>
      <c r="AD43" s="12">
        <f t="shared" si="5"/>
        <v>2.7538048956656729</v>
      </c>
    </row>
    <row r="44" spans="1:30" x14ac:dyDescent="0.3">
      <c r="A44" s="1" t="s">
        <v>11</v>
      </c>
      <c r="B44" s="1" t="s">
        <v>8</v>
      </c>
      <c r="C44" s="1" t="s">
        <v>9</v>
      </c>
      <c r="D44" s="1" t="s">
        <v>10</v>
      </c>
      <c r="E44" s="1">
        <v>2</v>
      </c>
      <c r="F44" s="12">
        <v>13.94</v>
      </c>
      <c r="G44" s="12">
        <v>3.06</v>
      </c>
      <c r="I44" s="1">
        <f t="shared" si="0"/>
        <v>1</v>
      </c>
      <c r="J44" s="1">
        <f t="shared" si="1"/>
        <v>1</v>
      </c>
      <c r="K44" s="1">
        <f t="shared" si="2"/>
        <v>1</v>
      </c>
      <c r="L44" s="1">
        <f t="shared" si="6"/>
        <v>1</v>
      </c>
      <c r="M44" s="1">
        <v>2</v>
      </c>
      <c r="N44" s="12">
        <v>13.94</v>
      </c>
      <c r="O44" s="12">
        <v>3.06</v>
      </c>
      <c r="P44" s="12">
        <f>'Model output'!$B$17+'Model output'!$B$18*tips_table!$I44+'Model output'!$B$19*tips_table!$J44+'Model output'!$B$20*tips_table!$K44+'Model output'!$B$21*tips_table!$L44+'Model output'!$B$22*tips_table!$M44+'Model output'!$B$23*tips_table!$N44</f>
        <v>2.4216083094166683</v>
      </c>
      <c r="Q44" s="8">
        <f t="shared" si="3"/>
        <v>0.63839169058333178</v>
      </c>
      <c r="R44" s="16">
        <f t="shared" si="4"/>
        <v>0.40754395060584442</v>
      </c>
      <c r="W44" s="1">
        <v>0.75944339705833919</v>
      </c>
      <c r="X44" s="1">
        <f>'Model output'!$B$18*tips_table!$I44</f>
        <v>3.7183538040686311E-2</v>
      </c>
      <c r="Y44" s="1">
        <f>'Model output'!$B$20*tips_table!$K44</f>
        <v>8.8727762736486165E-2</v>
      </c>
      <c r="Z44" s="1">
        <f>'Model output'!$B$19*tips_table!$J44</f>
        <v>-7.3687758526173666E-2</v>
      </c>
      <c r="AA44" s="1">
        <f>'Model output'!$B$21*tips_table!$L44</f>
        <v>-5.3498842810068024E-2</v>
      </c>
      <c r="AB44" s="1">
        <f>'Model output'!$B$22*tips_table!$M44</f>
        <v>0.34786623214719364</v>
      </c>
      <c r="AC44" s="1">
        <f>'Model output'!$B$23*tips_table!$N44</f>
        <v>1.3155739807702049</v>
      </c>
      <c r="AD44" s="12">
        <f t="shared" si="5"/>
        <v>2.4216083094166683</v>
      </c>
    </row>
    <row r="45" spans="1:30" x14ac:dyDescent="0.3">
      <c r="A45" s="1" t="s">
        <v>11</v>
      </c>
      <c r="B45" s="1" t="s">
        <v>8</v>
      </c>
      <c r="C45" s="1" t="s">
        <v>9</v>
      </c>
      <c r="D45" s="1" t="s">
        <v>10</v>
      </c>
      <c r="E45" s="1">
        <v>2</v>
      </c>
      <c r="F45" s="12">
        <v>9.68</v>
      </c>
      <c r="G45" s="12">
        <v>1.32</v>
      </c>
      <c r="I45" s="1">
        <f t="shared" si="0"/>
        <v>1</v>
      </c>
      <c r="J45" s="1">
        <f t="shared" si="1"/>
        <v>1</v>
      </c>
      <c r="K45" s="1">
        <f t="shared" si="2"/>
        <v>1</v>
      </c>
      <c r="L45" s="1">
        <f t="shared" si="6"/>
        <v>1</v>
      </c>
      <c r="M45" s="1">
        <v>2</v>
      </c>
      <c r="N45" s="12">
        <v>9.68</v>
      </c>
      <c r="O45" s="12">
        <v>1.32</v>
      </c>
      <c r="P45" s="12">
        <f>'Model output'!$B$17+'Model output'!$B$18*tips_table!$I45+'Model output'!$B$19*tips_table!$J45+'Model output'!$B$20*tips_table!$K45+'Model output'!$B$21*tips_table!$L45+'Model output'!$B$22*tips_table!$M45+'Model output'!$B$23*tips_table!$N45</f>
        <v>2.0195749408312258</v>
      </c>
      <c r="Q45" s="8">
        <f t="shared" si="3"/>
        <v>-0.69957494083122573</v>
      </c>
      <c r="R45" s="16">
        <f t="shared" si="4"/>
        <v>0.48940509783901298</v>
      </c>
      <c r="W45" s="1">
        <v>0.75944339705833919</v>
      </c>
      <c r="X45" s="1">
        <f>'Model output'!$B$18*tips_table!$I45</f>
        <v>3.7183538040686311E-2</v>
      </c>
      <c r="Y45" s="1">
        <f>'Model output'!$B$20*tips_table!$K45</f>
        <v>8.8727762736486165E-2</v>
      </c>
      <c r="Z45" s="1">
        <f>'Model output'!$B$19*tips_table!$J45</f>
        <v>-7.3687758526173666E-2</v>
      </c>
      <c r="AA45" s="1">
        <f>'Model output'!$B$21*tips_table!$L45</f>
        <v>-5.3498842810068024E-2</v>
      </c>
      <c r="AB45" s="1">
        <f>'Model output'!$B$22*tips_table!$M45</f>
        <v>0.34786623214719364</v>
      </c>
      <c r="AC45" s="1">
        <f>'Model output'!$B$23*tips_table!$N45</f>
        <v>0.91354061218476201</v>
      </c>
      <c r="AD45" s="12">
        <f t="shared" si="5"/>
        <v>2.0195749408312258</v>
      </c>
    </row>
    <row r="46" spans="1:30" x14ac:dyDescent="0.3">
      <c r="A46" s="1" t="s">
        <v>11</v>
      </c>
      <c r="B46" s="1" t="s">
        <v>8</v>
      </c>
      <c r="C46" s="1" t="s">
        <v>9</v>
      </c>
      <c r="D46" s="1" t="s">
        <v>10</v>
      </c>
      <c r="E46" s="1">
        <v>4</v>
      </c>
      <c r="F46" s="12">
        <v>30.4</v>
      </c>
      <c r="G46" s="12">
        <v>5.6</v>
      </c>
      <c r="I46" s="1">
        <f t="shared" si="0"/>
        <v>1</v>
      </c>
      <c r="J46" s="1">
        <f t="shared" si="1"/>
        <v>1</v>
      </c>
      <c r="K46" s="1">
        <f t="shared" si="2"/>
        <v>1</v>
      </c>
      <c r="L46" s="1">
        <f t="shared" si="6"/>
        <v>1</v>
      </c>
      <c r="M46" s="1">
        <v>4</v>
      </c>
      <c r="N46" s="12">
        <v>30.4</v>
      </c>
      <c r="O46" s="12">
        <v>5.6</v>
      </c>
      <c r="P46" s="12">
        <f>'Model output'!$B$17+'Model output'!$B$18*tips_table!$I46+'Model output'!$B$19*tips_table!$J46+'Model output'!$B$20*tips_table!$K46+'Model output'!$B$21*tips_table!$L46+'Model output'!$B$22*tips_table!$M46+'Model output'!$B$23*tips_table!$N46</f>
        <v>4.3228710783986948</v>
      </c>
      <c r="Q46" s="8">
        <f t="shared" si="3"/>
        <v>1.2771289216013049</v>
      </c>
      <c r="R46" s="16">
        <f t="shared" si="4"/>
        <v>1.631058282390512</v>
      </c>
      <c r="W46" s="1">
        <v>0.75944339705833919</v>
      </c>
      <c r="X46" s="1">
        <f>'Model output'!$B$18*tips_table!$I46</f>
        <v>3.7183538040686311E-2</v>
      </c>
      <c r="Y46" s="1">
        <f>'Model output'!$B$20*tips_table!$K46</f>
        <v>8.8727762736486165E-2</v>
      </c>
      <c r="Z46" s="1">
        <f>'Model output'!$B$19*tips_table!$J46</f>
        <v>-7.3687758526173666E-2</v>
      </c>
      <c r="AA46" s="1">
        <f>'Model output'!$B$21*tips_table!$L46</f>
        <v>-5.3498842810068024E-2</v>
      </c>
      <c r="AB46" s="1">
        <f>'Model output'!$B$22*tips_table!$M46</f>
        <v>0.69573246429438729</v>
      </c>
      <c r="AC46" s="1">
        <f>'Model output'!$B$23*tips_table!$N46</f>
        <v>2.868970517605038</v>
      </c>
      <c r="AD46" s="12">
        <f t="shared" si="5"/>
        <v>4.3228710783986948</v>
      </c>
    </row>
    <row r="47" spans="1:30" x14ac:dyDescent="0.3">
      <c r="A47" s="1" t="s">
        <v>11</v>
      </c>
      <c r="B47" s="1" t="s">
        <v>8</v>
      </c>
      <c r="C47" s="1" t="s">
        <v>9</v>
      </c>
      <c r="D47" s="1" t="s">
        <v>10</v>
      </c>
      <c r="E47" s="1">
        <v>2</v>
      </c>
      <c r="F47" s="12">
        <v>18.29</v>
      </c>
      <c r="G47" s="12">
        <v>3</v>
      </c>
      <c r="I47" s="1">
        <f t="shared" si="0"/>
        <v>1</v>
      </c>
      <c r="J47" s="1">
        <f t="shared" si="1"/>
        <v>1</v>
      </c>
      <c r="K47" s="1">
        <f t="shared" si="2"/>
        <v>1</v>
      </c>
      <c r="L47" s="1">
        <f t="shared" si="6"/>
        <v>1</v>
      </c>
      <c r="M47" s="1">
        <v>2</v>
      </c>
      <c r="N47" s="12">
        <v>18.29</v>
      </c>
      <c r="O47" s="12">
        <v>3</v>
      </c>
      <c r="P47" s="12">
        <f>'Model output'!$B$17+'Model output'!$B$18*tips_table!$I47+'Model output'!$B$19*tips_table!$J47+'Model output'!$B$20*tips_table!$K47+'Model output'!$B$21*tips_table!$L47+'Model output'!$B$22*tips_table!$M47+'Model output'!$B$23*tips_table!$N47</f>
        <v>2.8321353407187049</v>
      </c>
      <c r="Q47" s="8">
        <f t="shared" si="3"/>
        <v>0.16786465928129513</v>
      </c>
      <c r="R47" s="16">
        <f t="shared" si="4"/>
        <v>2.8178543835625302E-2</v>
      </c>
      <c r="W47" s="1">
        <v>0.75944339705833919</v>
      </c>
      <c r="X47" s="1">
        <f>'Model output'!$B$18*tips_table!$I47</f>
        <v>3.7183538040686311E-2</v>
      </c>
      <c r="Y47" s="1">
        <f>'Model output'!$B$20*tips_table!$K47</f>
        <v>8.8727762736486165E-2</v>
      </c>
      <c r="Z47" s="1">
        <f>'Model output'!$B$19*tips_table!$J47</f>
        <v>-7.3687758526173666E-2</v>
      </c>
      <c r="AA47" s="1">
        <f>'Model output'!$B$21*tips_table!$L47</f>
        <v>-5.3498842810068024E-2</v>
      </c>
      <c r="AB47" s="1">
        <f>'Model output'!$B$22*tips_table!$M47</f>
        <v>0.34786623214719364</v>
      </c>
      <c r="AC47" s="1">
        <f>'Model output'!$B$23*tips_table!$N47</f>
        <v>1.7261010120722415</v>
      </c>
      <c r="AD47" s="12">
        <f t="shared" si="5"/>
        <v>2.8321353407187049</v>
      </c>
    </row>
    <row r="48" spans="1:30" x14ac:dyDescent="0.3">
      <c r="A48" s="1" t="s">
        <v>11</v>
      </c>
      <c r="B48" s="1" t="s">
        <v>8</v>
      </c>
      <c r="C48" s="1" t="s">
        <v>9</v>
      </c>
      <c r="D48" s="1" t="s">
        <v>10</v>
      </c>
      <c r="E48" s="1">
        <v>2</v>
      </c>
      <c r="F48" s="12">
        <v>22.23</v>
      </c>
      <c r="G48" s="12">
        <v>5</v>
      </c>
      <c r="I48" s="1">
        <f t="shared" si="0"/>
        <v>1</v>
      </c>
      <c r="J48" s="1">
        <f t="shared" si="1"/>
        <v>1</v>
      </c>
      <c r="K48" s="1">
        <f t="shared" si="2"/>
        <v>1</v>
      </c>
      <c r="L48" s="1">
        <f t="shared" si="6"/>
        <v>1</v>
      </c>
      <c r="M48" s="1">
        <v>2</v>
      </c>
      <c r="N48" s="12">
        <v>22.23</v>
      </c>
      <c r="O48" s="12">
        <v>5</v>
      </c>
      <c r="P48" s="12">
        <f>'Model output'!$B$17+'Model output'!$B$18*tips_table!$I48+'Model output'!$B$19*tips_table!$J48+'Model output'!$B$20*tips_table!$K48+'Model output'!$B$21*tips_table!$L48+'Model output'!$B$22*tips_table!$M48+'Model output'!$B$23*tips_table!$N48</f>
        <v>3.2039690196451476</v>
      </c>
      <c r="Q48" s="8">
        <f t="shared" si="3"/>
        <v>1.7960309803548524</v>
      </c>
      <c r="R48" s="16">
        <f t="shared" si="4"/>
        <v>3.2257272823944123</v>
      </c>
      <c r="W48" s="1">
        <v>0.75944339705833919</v>
      </c>
      <c r="X48" s="1">
        <f>'Model output'!$B$18*tips_table!$I48</f>
        <v>3.7183538040686311E-2</v>
      </c>
      <c r="Y48" s="1">
        <f>'Model output'!$B$20*tips_table!$K48</f>
        <v>8.8727762736486165E-2</v>
      </c>
      <c r="Z48" s="1">
        <f>'Model output'!$B$19*tips_table!$J48</f>
        <v>-7.3687758526173666E-2</v>
      </c>
      <c r="AA48" s="1">
        <f>'Model output'!$B$21*tips_table!$L48</f>
        <v>-5.3498842810068024E-2</v>
      </c>
      <c r="AB48" s="1">
        <f>'Model output'!$B$22*tips_table!$M48</f>
        <v>0.34786623214719364</v>
      </c>
      <c r="AC48" s="1">
        <f>'Model output'!$B$23*tips_table!$N48</f>
        <v>2.097934690998684</v>
      </c>
      <c r="AD48" s="12">
        <f t="shared" si="5"/>
        <v>3.2039690196451476</v>
      </c>
    </row>
    <row r="49" spans="1:30" x14ac:dyDescent="0.3">
      <c r="A49" s="1" t="s">
        <v>11</v>
      </c>
      <c r="B49" s="1" t="s">
        <v>8</v>
      </c>
      <c r="C49" s="1" t="s">
        <v>9</v>
      </c>
      <c r="D49" s="1" t="s">
        <v>10</v>
      </c>
      <c r="E49" s="1">
        <v>4</v>
      </c>
      <c r="F49" s="12">
        <v>32.4</v>
      </c>
      <c r="G49" s="12">
        <v>6</v>
      </c>
      <c r="I49" s="1">
        <f t="shared" si="0"/>
        <v>1</v>
      </c>
      <c r="J49" s="1">
        <f t="shared" si="1"/>
        <v>1</v>
      </c>
      <c r="K49" s="1">
        <f t="shared" si="2"/>
        <v>1</v>
      </c>
      <c r="L49" s="1">
        <f t="shared" si="6"/>
        <v>1</v>
      </c>
      <c r="M49" s="1">
        <v>4</v>
      </c>
      <c r="N49" s="12">
        <v>32.4</v>
      </c>
      <c r="O49" s="12">
        <v>6</v>
      </c>
      <c r="P49" s="12">
        <f>'Model output'!$B$17+'Model output'!$B$18*tips_table!$I49+'Model output'!$B$19*tips_table!$J49+'Model output'!$B$20*tips_table!$K49+'Model output'!$B$21*tips_table!$L49+'Model output'!$B$22*tips_table!$M49+'Model output'!$B$23*tips_table!$N49</f>
        <v>4.5116191387674469</v>
      </c>
      <c r="Q49" s="8">
        <f t="shared" si="3"/>
        <v>1.4883808612325531</v>
      </c>
      <c r="R49" s="16">
        <f t="shared" si="4"/>
        <v>2.2152775880833566</v>
      </c>
      <c r="W49" s="1">
        <v>0.75944339705833919</v>
      </c>
      <c r="X49" s="1">
        <f>'Model output'!$B$18*tips_table!$I49</f>
        <v>3.7183538040686311E-2</v>
      </c>
      <c r="Y49" s="1">
        <f>'Model output'!$B$20*tips_table!$K49</f>
        <v>8.8727762736486165E-2</v>
      </c>
      <c r="Z49" s="1">
        <f>'Model output'!$B$19*tips_table!$J49</f>
        <v>-7.3687758526173666E-2</v>
      </c>
      <c r="AA49" s="1">
        <f>'Model output'!$B$21*tips_table!$L49</f>
        <v>-5.3498842810068024E-2</v>
      </c>
      <c r="AB49" s="1">
        <f>'Model output'!$B$22*tips_table!$M49</f>
        <v>0.69573246429438729</v>
      </c>
      <c r="AC49" s="1">
        <f>'Model output'!$B$23*tips_table!$N49</f>
        <v>3.0577185779737901</v>
      </c>
      <c r="AD49" s="12">
        <f t="shared" si="5"/>
        <v>4.5116191387674469</v>
      </c>
    </row>
    <row r="50" spans="1:30" x14ac:dyDescent="0.3">
      <c r="A50" s="1" t="s">
        <v>11</v>
      </c>
      <c r="B50" s="1" t="s">
        <v>8</v>
      </c>
      <c r="C50" s="1" t="s">
        <v>9</v>
      </c>
      <c r="D50" s="1" t="s">
        <v>10</v>
      </c>
      <c r="E50" s="1">
        <v>3</v>
      </c>
      <c r="F50" s="12">
        <v>28.55</v>
      </c>
      <c r="G50" s="12">
        <v>2.0499999999999998</v>
      </c>
      <c r="I50" s="1">
        <f t="shared" si="0"/>
        <v>1</v>
      </c>
      <c r="J50" s="1">
        <f t="shared" si="1"/>
        <v>1</v>
      </c>
      <c r="K50" s="1">
        <f t="shared" si="2"/>
        <v>1</v>
      </c>
      <c r="L50" s="1">
        <f t="shared" si="6"/>
        <v>1</v>
      </c>
      <c r="M50" s="1">
        <v>3</v>
      </c>
      <c r="N50" s="12">
        <v>28.55</v>
      </c>
      <c r="O50" s="12">
        <v>2.0499999999999998</v>
      </c>
      <c r="P50" s="12">
        <f>'Model output'!$B$17+'Model output'!$B$18*tips_table!$I50+'Model output'!$B$19*tips_table!$J50+'Model output'!$B$20*tips_table!$K50+'Model output'!$B$21*tips_table!$L50+'Model output'!$B$22*tips_table!$M50+'Model output'!$B$23*tips_table!$N50</f>
        <v>3.9743460064840024</v>
      </c>
      <c r="Q50" s="8">
        <f t="shared" si="3"/>
        <v>-1.9243460064840026</v>
      </c>
      <c r="R50" s="16">
        <f t="shared" si="4"/>
        <v>3.7031075526709287</v>
      </c>
      <c r="W50" s="1">
        <v>0.75944339705833919</v>
      </c>
      <c r="X50" s="1">
        <f>'Model output'!$B$18*tips_table!$I50</f>
        <v>3.7183538040686311E-2</v>
      </c>
      <c r="Y50" s="1">
        <f>'Model output'!$B$20*tips_table!$K50</f>
        <v>8.8727762736486165E-2</v>
      </c>
      <c r="Z50" s="1">
        <f>'Model output'!$B$19*tips_table!$J50</f>
        <v>-7.3687758526173666E-2</v>
      </c>
      <c r="AA50" s="1">
        <f>'Model output'!$B$21*tips_table!$L50</f>
        <v>-5.3498842810068024E-2</v>
      </c>
      <c r="AB50" s="1">
        <f>'Model output'!$B$22*tips_table!$M50</f>
        <v>0.52179934822079044</v>
      </c>
      <c r="AC50" s="1">
        <f>'Model output'!$B$23*tips_table!$N50</f>
        <v>2.694378561763942</v>
      </c>
      <c r="AD50" s="12">
        <f t="shared" si="5"/>
        <v>3.9743460064840024</v>
      </c>
    </row>
    <row r="51" spans="1:30" x14ac:dyDescent="0.3">
      <c r="A51" s="1" t="s">
        <v>11</v>
      </c>
      <c r="B51" s="1" t="s">
        <v>8</v>
      </c>
      <c r="C51" s="1" t="s">
        <v>9</v>
      </c>
      <c r="D51" s="1" t="s">
        <v>10</v>
      </c>
      <c r="E51" s="1">
        <v>2</v>
      </c>
      <c r="F51" s="12">
        <v>18.04</v>
      </c>
      <c r="G51" s="12">
        <v>3</v>
      </c>
      <c r="I51" s="1">
        <f t="shared" si="0"/>
        <v>1</v>
      </c>
      <c r="J51" s="1">
        <f t="shared" si="1"/>
        <v>1</v>
      </c>
      <c r="K51" s="1">
        <f t="shared" si="2"/>
        <v>1</v>
      </c>
      <c r="L51" s="1">
        <f t="shared" si="6"/>
        <v>1</v>
      </c>
      <c r="M51" s="1">
        <v>2</v>
      </c>
      <c r="N51" s="12">
        <v>18.04</v>
      </c>
      <c r="O51" s="12">
        <v>3</v>
      </c>
      <c r="P51" s="12">
        <f>'Model output'!$B$17+'Model output'!$B$18*tips_table!$I51+'Model output'!$B$19*tips_table!$J51+'Model output'!$B$20*tips_table!$K51+'Model output'!$B$21*tips_table!$L51+'Model output'!$B$22*tips_table!$M51+'Model output'!$B$23*tips_table!$N51</f>
        <v>2.8085418331726109</v>
      </c>
      <c r="Q51" s="8">
        <f t="shared" si="3"/>
        <v>0.19145816682738914</v>
      </c>
      <c r="R51" s="16">
        <f t="shared" si="4"/>
        <v>3.6656229644904371E-2</v>
      </c>
      <c r="W51" s="1">
        <v>0.75944339705833919</v>
      </c>
      <c r="X51" s="1">
        <f>'Model output'!$B$18*tips_table!$I51</f>
        <v>3.7183538040686311E-2</v>
      </c>
      <c r="Y51" s="1">
        <f>'Model output'!$B$20*tips_table!$K51</f>
        <v>8.8727762736486165E-2</v>
      </c>
      <c r="Z51" s="1">
        <f>'Model output'!$B$19*tips_table!$J51</f>
        <v>-7.3687758526173666E-2</v>
      </c>
      <c r="AA51" s="1">
        <f>'Model output'!$B$21*tips_table!$L51</f>
        <v>-5.3498842810068024E-2</v>
      </c>
      <c r="AB51" s="1">
        <f>'Model output'!$B$22*tips_table!$M51</f>
        <v>0.34786623214719364</v>
      </c>
      <c r="AC51" s="1">
        <f>'Model output'!$B$23*tips_table!$N51</f>
        <v>1.7025075045261475</v>
      </c>
      <c r="AD51" s="12">
        <f t="shared" si="5"/>
        <v>2.8085418331726109</v>
      </c>
    </row>
    <row r="52" spans="1:30" x14ac:dyDescent="0.3">
      <c r="A52" s="1" t="s">
        <v>11</v>
      </c>
      <c r="B52" s="1" t="s">
        <v>8</v>
      </c>
      <c r="C52" s="1" t="s">
        <v>9</v>
      </c>
      <c r="D52" s="1" t="s">
        <v>10</v>
      </c>
      <c r="E52" s="1">
        <v>2</v>
      </c>
      <c r="F52" s="12">
        <v>12.54</v>
      </c>
      <c r="G52" s="12">
        <v>2.5</v>
      </c>
      <c r="I52" s="1">
        <f t="shared" si="0"/>
        <v>1</v>
      </c>
      <c r="J52" s="1">
        <f t="shared" si="1"/>
        <v>1</v>
      </c>
      <c r="K52" s="1">
        <f t="shared" si="2"/>
        <v>1</v>
      </c>
      <c r="L52" s="1">
        <f t="shared" si="6"/>
        <v>1</v>
      </c>
      <c r="M52" s="1">
        <v>2</v>
      </c>
      <c r="N52" s="12">
        <v>12.54</v>
      </c>
      <c r="O52" s="12">
        <v>2.5</v>
      </c>
      <c r="P52" s="12">
        <f>'Model output'!$B$17+'Model output'!$B$18*tips_table!$I52+'Model output'!$B$19*tips_table!$J52+'Model output'!$B$20*tips_table!$K52+'Model output'!$B$21*tips_table!$L52+'Model output'!$B$22*tips_table!$M52+'Model output'!$B$23*tips_table!$N52</f>
        <v>2.2894846671585416</v>
      </c>
      <c r="Q52" s="8">
        <f t="shared" si="3"/>
        <v>0.2105153328414584</v>
      </c>
      <c r="R52" s="16">
        <f t="shared" si="4"/>
        <v>4.4316705361350017E-2</v>
      </c>
      <c r="W52" s="1">
        <v>0.75944339705833919</v>
      </c>
      <c r="X52" s="1">
        <f>'Model output'!$B$18*tips_table!$I52</f>
        <v>3.7183538040686311E-2</v>
      </c>
      <c r="Y52" s="1">
        <f>'Model output'!$B$20*tips_table!$K52</f>
        <v>8.8727762736486165E-2</v>
      </c>
      <c r="Z52" s="1">
        <f>'Model output'!$B$19*tips_table!$J52</f>
        <v>-7.3687758526173666E-2</v>
      </c>
      <c r="AA52" s="1">
        <f>'Model output'!$B$21*tips_table!$L52</f>
        <v>-5.3498842810068024E-2</v>
      </c>
      <c r="AB52" s="1">
        <f>'Model output'!$B$22*tips_table!$M52</f>
        <v>0.34786623214719364</v>
      </c>
      <c r="AC52" s="1">
        <f>'Model output'!$B$23*tips_table!$N52</f>
        <v>1.183450338512078</v>
      </c>
      <c r="AD52" s="12">
        <f t="shared" si="5"/>
        <v>2.2894846671585416</v>
      </c>
    </row>
    <row r="53" spans="1:30" x14ac:dyDescent="0.3">
      <c r="A53" s="1" t="s">
        <v>7</v>
      </c>
      <c r="B53" s="1" t="s">
        <v>8</v>
      </c>
      <c r="C53" s="1" t="s">
        <v>9</v>
      </c>
      <c r="D53" s="1" t="s">
        <v>10</v>
      </c>
      <c r="E53" s="1">
        <v>2</v>
      </c>
      <c r="F53" s="12">
        <v>10.29</v>
      </c>
      <c r="G53" s="12">
        <v>2.6</v>
      </c>
      <c r="I53" s="1">
        <f t="shared" si="0"/>
        <v>2</v>
      </c>
      <c r="J53" s="1">
        <f t="shared" si="1"/>
        <v>1</v>
      </c>
      <c r="K53" s="1">
        <f t="shared" si="2"/>
        <v>1</v>
      </c>
      <c r="L53" s="1">
        <f t="shared" si="6"/>
        <v>1</v>
      </c>
      <c r="M53" s="1">
        <v>2</v>
      </c>
      <c r="N53" s="12">
        <v>10.29</v>
      </c>
      <c r="O53" s="12">
        <v>2.6</v>
      </c>
      <c r="P53" s="12">
        <f>'Model output'!$B$17+'Model output'!$B$18*tips_table!$I53+'Model output'!$B$19*tips_table!$J53+'Model output'!$B$20*tips_table!$K53+'Model output'!$B$21*tips_table!$L53+'Model output'!$B$22*tips_table!$M53+'Model output'!$B$23*tips_table!$N53</f>
        <v>2.1143266372843814</v>
      </c>
      <c r="Q53" s="8">
        <f t="shared" si="3"/>
        <v>0.48567336271561867</v>
      </c>
      <c r="R53" s="16">
        <f t="shared" si="4"/>
        <v>0.23587861525149689</v>
      </c>
      <c r="W53" s="1">
        <v>0.75944339705833919</v>
      </c>
      <c r="X53" s="1">
        <f>'Model output'!$B$18*tips_table!$I53</f>
        <v>7.4367076081372621E-2</v>
      </c>
      <c r="Y53" s="1">
        <f>'Model output'!$B$20*tips_table!$K53</f>
        <v>8.8727762736486165E-2</v>
      </c>
      <c r="Z53" s="1">
        <f>'Model output'!$B$19*tips_table!$J53</f>
        <v>-7.3687758526173666E-2</v>
      </c>
      <c r="AA53" s="1">
        <f>'Model output'!$B$21*tips_table!$L53</f>
        <v>-5.3498842810068024E-2</v>
      </c>
      <c r="AB53" s="1">
        <f>'Model output'!$B$22*tips_table!$M53</f>
        <v>0.34786623214719364</v>
      </c>
      <c r="AC53" s="1">
        <f>'Model output'!$B$23*tips_table!$N53</f>
        <v>0.97110877059723155</v>
      </c>
      <c r="AD53" s="12">
        <f t="shared" si="5"/>
        <v>2.1143266372843814</v>
      </c>
    </row>
    <row r="54" spans="1:30" x14ac:dyDescent="0.3">
      <c r="A54" s="1" t="s">
        <v>7</v>
      </c>
      <c r="B54" s="1" t="s">
        <v>8</v>
      </c>
      <c r="C54" s="1" t="s">
        <v>9</v>
      </c>
      <c r="D54" s="1" t="s">
        <v>10</v>
      </c>
      <c r="E54" s="1">
        <v>4</v>
      </c>
      <c r="F54" s="12">
        <v>34.81</v>
      </c>
      <c r="G54" s="12">
        <v>5.2</v>
      </c>
      <c r="I54" s="1">
        <f t="shared" si="0"/>
        <v>2</v>
      </c>
      <c r="J54" s="1">
        <f t="shared" si="1"/>
        <v>1</v>
      </c>
      <c r="K54" s="1">
        <f t="shared" si="2"/>
        <v>1</v>
      </c>
      <c r="L54" s="1">
        <f t="shared" si="6"/>
        <v>1</v>
      </c>
      <c r="M54" s="1">
        <v>4</v>
      </c>
      <c r="N54" s="12">
        <v>34.81</v>
      </c>
      <c r="O54" s="12">
        <v>5.2</v>
      </c>
      <c r="P54" s="12">
        <f>'Model output'!$B$17+'Model output'!$B$18*tips_table!$I54+'Model output'!$B$19*tips_table!$J54+'Model output'!$B$20*tips_table!$K54+'Model output'!$B$21*tips_table!$L54+'Model output'!$B$22*tips_table!$M54+'Model output'!$B$23*tips_table!$N54</f>
        <v>4.7762440895524811</v>
      </c>
      <c r="Q54" s="8">
        <f t="shared" si="3"/>
        <v>0.42375591044751904</v>
      </c>
      <c r="R54" s="16">
        <f t="shared" si="4"/>
        <v>0.17956907163920577</v>
      </c>
      <c r="W54" s="1">
        <v>0.75944339705833919</v>
      </c>
      <c r="X54" s="1">
        <f>'Model output'!$B$18*tips_table!$I54</f>
        <v>7.4367076081372621E-2</v>
      </c>
      <c r="Y54" s="1">
        <f>'Model output'!$B$20*tips_table!$K54</f>
        <v>8.8727762736486165E-2</v>
      </c>
      <c r="Z54" s="1">
        <f>'Model output'!$B$19*tips_table!$J54</f>
        <v>-7.3687758526173666E-2</v>
      </c>
      <c r="AA54" s="1">
        <f>'Model output'!$B$21*tips_table!$L54</f>
        <v>-5.3498842810068024E-2</v>
      </c>
      <c r="AB54" s="1">
        <f>'Model output'!$B$22*tips_table!$M54</f>
        <v>0.69573246429438729</v>
      </c>
      <c r="AC54" s="1">
        <f>'Model output'!$B$23*tips_table!$N54</f>
        <v>3.2851599907181375</v>
      </c>
      <c r="AD54" s="12">
        <f t="shared" si="5"/>
        <v>4.7762440895524811</v>
      </c>
    </row>
    <row r="55" spans="1:30" x14ac:dyDescent="0.3">
      <c r="A55" s="1" t="s">
        <v>11</v>
      </c>
      <c r="B55" s="1" t="s">
        <v>8</v>
      </c>
      <c r="C55" s="1" t="s">
        <v>9</v>
      </c>
      <c r="D55" s="1" t="s">
        <v>10</v>
      </c>
      <c r="E55" s="1">
        <v>2</v>
      </c>
      <c r="F55" s="12">
        <v>9.94</v>
      </c>
      <c r="G55" s="12">
        <v>1.56</v>
      </c>
      <c r="I55" s="1">
        <f t="shared" si="0"/>
        <v>1</v>
      </c>
      <c r="J55" s="1">
        <f t="shared" si="1"/>
        <v>1</v>
      </c>
      <c r="K55" s="1">
        <f t="shared" si="2"/>
        <v>1</v>
      </c>
      <c r="L55" s="1">
        <f t="shared" si="6"/>
        <v>1</v>
      </c>
      <c r="M55" s="1">
        <v>2</v>
      </c>
      <c r="N55" s="12">
        <v>9.94</v>
      </c>
      <c r="O55" s="12">
        <v>1.56</v>
      </c>
      <c r="P55" s="12">
        <f>'Model output'!$B$17+'Model output'!$B$18*tips_table!$I55+'Model output'!$B$19*tips_table!$J55+'Model output'!$B$20*tips_table!$K55+'Model output'!$B$21*tips_table!$L55+'Model output'!$B$22*tips_table!$M55+'Model output'!$B$23*tips_table!$N55</f>
        <v>2.0441121886791636</v>
      </c>
      <c r="Q55" s="8">
        <f t="shared" si="3"/>
        <v>-0.4841121886791635</v>
      </c>
      <c r="R55" s="16">
        <f t="shared" si="4"/>
        <v>0.23436461122773</v>
      </c>
      <c r="W55" s="1">
        <v>0.75944339705833919</v>
      </c>
      <c r="X55" s="1">
        <f>'Model output'!$B$18*tips_table!$I55</f>
        <v>3.7183538040686311E-2</v>
      </c>
      <c r="Y55" s="1">
        <f>'Model output'!$B$20*tips_table!$K55</f>
        <v>8.8727762736486165E-2</v>
      </c>
      <c r="Z55" s="1">
        <f>'Model output'!$B$19*tips_table!$J55</f>
        <v>-7.3687758526173666E-2</v>
      </c>
      <c r="AA55" s="1">
        <f>'Model output'!$B$21*tips_table!$L55</f>
        <v>-5.3498842810068024E-2</v>
      </c>
      <c r="AB55" s="1">
        <f>'Model output'!$B$22*tips_table!$M55</f>
        <v>0.34786623214719364</v>
      </c>
      <c r="AC55" s="1">
        <f>'Model output'!$B$23*tips_table!$N55</f>
        <v>0.93807786003269988</v>
      </c>
      <c r="AD55" s="12">
        <f t="shared" si="5"/>
        <v>2.0441121886791636</v>
      </c>
    </row>
    <row r="56" spans="1:30" x14ac:dyDescent="0.3">
      <c r="A56" s="1" t="s">
        <v>11</v>
      </c>
      <c r="B56" s="1" t="s">
        <v>8</v>
      </c>
      <c r="C56" s="1" t="s">
        <v>9</v>
      </c>
      <c r="D56" s="1" t="s">
        <v>10</v>
      </c>
      <c r="E56" s="1">
        <v>4</v>
      </c>
      <c r="F56" s="12">
        <v>25.56</v>
      </c>
      <c r="G56" s="12">
        <v>4.34</v>
      </c>
      <c r="I56" s="1">
        <f t="shared" si="0"/>
        <v>1</v>
      </c>
      <c r="J56" s="1">
        <f t="shared" si="1"/>
        <v>1</v>
      </c>
      <c r="K56" s="1">
        <f t="shared" si="2"/>
        <v>1</v>
      </c>
      <c r="L56" s="1">
        <f t="shared" si="6"/>
        <v>1</v>
      </c>
      <c r="M56" s="1">
        <v>4</v>
      </c>
      <c r="N56" s="12">
        <v>25.56</v>
      </c>
      <c r="O56" s="12">
        <v>4.34</v>
      </c>
      <c r="P56" s="12">
        <f>'Model output'!$B$17+'Model output'!$B$18*tips_table!$I56+'Model output'!$B$19*tips_table!$J56+'Model output'!$B$20*tips_table!$K56+'Model output'!$B$21*tips_table!$L56+'Model output'!$B$22*tips_table!$M56+'Model output'!$B$23*tips_table!$N56</f>
        <v>3.8661007723063139</v>
      </c>
      <c r="Q56" s="8">
        <f t="shared" si="3"/>
        <v>0.47389922769368598</v>
      </c>
      <c r="R56" s="16">
        <f t="shared" si="4"/>
        <v>0.22458047800867204</v>
      </c>
      <c r="W56" s="1">
        <v>0.75944339705833919</v>
      </c>
      <c r="X56" s="1">
        <f>'Model output'!$B$18*tips_table!$I56</f>
        <v>3.7183538040686311E-2</v>
      </c>
      <c r="Y56" s="1">
        <f>'Model output'!$B$20*tips_table!$K56</f>
        <v>8.8727762736486165E-2</v>
      </c>
      <c r="Z56" s="1">
        <f>'Model output'!$B$19*tips_table!$J56</f>
        <v>-7.3687758526173666E-2</v>
      </c>
      <c r="AA56" s="1">
        <f>'Model output'!$B$21*tips_table!$L56</f>
        <v>-5.3498842810068024E-2</v>
      </c>
      <c r="AB56" s="1">
        <f>'Model output'!$B$22*tips_table!$M56</f>
        <v>0.69573246429438729</v>
      </c>
      <c r="AC56" s="1">
        <f>'Model output'!$B$23*tips_table!$N56</f>
        <v>2.4122002115126566</v>
      </c>
      <c r="AD56" s="12">
        <f t="shared" si="5"/>
        <v>3.8661007723063139</v>
      </c>
    </row>
    <row r="57" spans="1:30" x14ac:dyDescent="0.3">
      <c r="A57" s="1" t="s">
        <v>11</v>
      </c>
      <c r="B57" s="1" t="s">
        <v>8</v>
      </c>
      <c r="C57" s="1" t="s">
        <v>9</v>
      </c>
      <c r="D57" s="1" t="s">
        <v>10</v>
      </c>
      <c r="E57" s="1">
        <v>2</v>
      </c>
      <c r="F57" s="12">
        <v>19.489999999999998</v>
      </c>
      <c r="G57" s="12">
        <v>3.51</v>
      </c>
      <c r="I57" s="1">
        <f t="shared" si="0"/>
        <v>1</v>
      </c>
      <c r="J57" s="1">
        <f t="shared" si="1"/>
        <v>1</v>
      </c>
      <c r="K57" s="1">
        <f t="shared" si="2"/>
        <v>1</v>
      </c>
      <c r="L57" s="1">
        <f t="shared" si="6"/>
        <v>1</v>
      </c>
      <c r="M57" s="1">
        <v>2</v>
      </c>
      <c r="N57" s="12">
        <v>19.489999999999998</v>
      </c>
      <c r="O57" s="12">
        <v>3.51</v>
      </c>
      <c r="P57" s="12">
        <f>'Model output'!$B$17+'Model output'!$B$18*tips_table!$I57+'Model output'!$B$19*tips_table!$J57+'Model output'!$B$20*tips_table!$K57+'Model output'!$B$21*tips_table!$L57+'Model output'!$B$22*tips_table!$M57+'Model output'!$B$23*tips_table!$N57</f>
        <v>2.9453841769399567</v>
      </c>
      <c r="Q57" s="8">
        <f t="shared" si="3"/>
        <v>0.5646158230600431</v>
      </c>
      <c r="R57" s="16">
        <f t="shared" si="4"/>
        <v>0.31879102764976991</v>
      </c>
      <c r="W57" s="1">
        <v>0.75944339705833919</v>
      </c>
      <c r="X57" s="1">
        <f>'Model output'!$B$18*tips_table!$I57</f>
        <v>3.7183538040686311E-2</v>
      </c>
      <c r="Y57" s="1">
        <f>'Model output'!$B$20*tips_table!$K57</f>
        <v>8.8727762736486165E-2</v>
      </c>
      <c r="Z57" s="1">
        <f>'Model output'!$B$19*tips_table!$J57</f>
        <v>-7.3687758526173666E-2</v>
      </c>
      <c r="AA57" s="1">
        <f>'Model output'!$B$21*tips_table!$L57</f>
        <v>-5.3498842810068024E-2</v>
      </c>
      <c r="AB57" s="1">
        <f>'Model output'!$B$22*tips_table!$M57</f>
        <v>0.34786623214719364</v>
      </c>
      <c r="AC57" s="1">
        <f>'Model output'!$B$23*tips_table!$N57</f>
        <v>1.8393498482934929</v>
      </c>
      <c r="AD57" s="12">
        <f t="shared" si="5"/>
        <v>2.9453841769399567</v>
      </c>
    </row>
    <row r="58" spans="1:30" x14ac:dyDescent="0.3">
      <c r="A58" s="1" t="s">
        <v>11</v>
      </c>
      <c r="B58" s="1" t="s">
        <v>13</v>
      </c>
      <c r="C58" s="1" t="s">
        <v>12</v>
      </c>
      <c r="D58" s="1" t="s">
        <v>10</v>
      </c>
      <c r="E58" s="1">
        <v>4</v>
      </c>
      <c r="F58" s="12">
        <v>38.01</v>
      </c>
      <c r="G58" s="12">
        <v>3</v>
      </c>
      <c r="I58" s="1">
        <f t="shared" si="0"/>
        <v>1</v>
      </c>
      <c r="J58" s="1">
        <f t="shared" si="1"/>
        <v>2</v>
      </c>
      <c r="K58" s="1">
        <f t="shared" si="2"/>
        <v>1</v>
      </c>
      <c r="L58" s="1">
        <f t="shared" si="6"/>
        <v>3</v>
      </c>
      <c r="M58" s="1">
        <v>4</v>
      </c>
      <c r="N58" s="12">
        <v>38.01</v>
      </c>
      <c r="O58" s="12">
        <v>3</v>
      </c>
      <c r="P58" s="12">
        <f>'Model output'!$B$17+'Model output'!$B$18*tips_table!$I58+'Model output'!$B$19*tips_table!$J58+'Model output'!$B$20*tips_table!$K58+'Model output'!$B$21*tips_table!$L58+'Model output'!$B$22*tips_table!$M58+'Model output'!$B$23*tips_table!$N58</f>
        <v>4.8603720039554883</v>
      </c>
      <c r="Q58" s="8">
        <f t="shared" si="3"/>
        <v>-1.8603720039554883</v>
      </c>
      <c r="R58" s="16">
        <f t="shared" si="4"/>
        <v>3.4609839931013595</v>
      </c>
      <c r="W58" s="1">
        <v>0.75944339705833919</v>
      </c>
      <c r="X58" s="1">
        <f>'Model output'!$B$18*tips_table!$I58</f>
        <v>3.7183538040686311E-2</v>
      </c>
      <c r="Y58" s="1">
        <f>'Model output'!$B$20*tips_table!$K58</f>
        <v>8.8727762736486165E-2</v>
      </c>
      <c r="Z58" s="1">
        <f>'Model output'!$B$19*tips_table!$J58</f>
        <v>-0.14737551705234733</v>
      </c>
      <c r="AA58" s="1">
        <f>'Model output'!$B$21*tips_table!$L58</f>
        <v>-0.16049652843020407</v>
      </c>
      <c r="AB58" s="1">
        <f>'Model output'!$B$22*tips_table!$M58</f>
        <v>0.69573246429438729</v>
      </c>
      <c r="AC58" s="1">
        <f>'Model output'!$B$23*tips_table!$N58</f>
        <v>3.587156887308141</v>
      </c>
      <c r="AD58" s="12">
        <f t="shared" si="5"/>
        <v>4.8603720039554883</v>
      </c>
    </row>
    <row r="59" spans="1:30" x14ac:dyDescent="0.3">
      <c r="A59" s="1" t="s">
        <v>7</v>
      </c>
      <c r="B59" s="1" t="s">
        <v>8</v>
      </c>
      <c r="C59" s="1" t="s">
        <v>12</v>
      </c>
      <c r="D59" s="1" t="s">
        <v>10</v>
      </c>
      <c r="E59" s="1">
        <v>2</v>
      </c>
      <c r="F59" s="12">
        <v>26.41</v>
      </c>
      <c r="G59" s="12">
        <v>1.5</v>
      </c>
      <c r="I59" s="1">
        <f t="shared" si="0"/>
        <v>2</v>
      </c>
      <c r="J59" s="1">
        <f t="shared" si="1"/>
        <v>1</v>
      </c>
      <c r="K59" s="1">
        <f t="shared" si="2"/>
        <v>1</v>
      </c>
      <c r="L59" s="1">
        <f t="shared" si="6"/>
        <v>3</v>
      </c>
      <c r="M59" s="1">
        <v>2</v>
      </c>
      <c r="N59" s="12">
        <v>26.41</v>
      </c>
      <c r="O59" s="12">
        <v>1.5</v>
      </c>
      <c r="P59" s="12">
        <f>'Model output'!$B$17+'Model output'!$B$18*tips_table!$I59+'Model output'!$B$19*tips_table!$J59+'Model output'!$B$20*tips_table!$K59+'Model output'!$B$21*tips_table!$L59+'Model output'!$B$22*tips_table!$M59+'Model output'!$B$23*tips_table!$N59</f>
        <v>3.5286383182363905</v>
      </c>
      <c r="Q59" s="8">
        <f t="shared" si="3"/>
        <v>-2.0286383182363905</v>
      </c>
      <c r="R59" s="16">
        <f t="shared" si="4"/>
        <v>4.115373426216971</v>
      </c>
      <c r="W59" s="1">
        <v>0.75944339705833919</v>
      </c>
      <c r="X59" s="1">
        <f>'Model output'!$B$18*tips_table!$I59</f>
        <v>7.4367076081372621E-2</v>
      </c>
      <c r="Y59" s="1">
        <f>'Model output'!$B$20*tips_table!$K59</f>
        <v>8.8727762736486165E-2</v>
      </c>
      <c r="Z59" s="1">
        <f>'Model output'!$B$19*tips_table!$J59</f>
        <v>-7.3687758526173666E-2</v>
      </c>
      <c r="AA59" s="1">
        <f>'Model output'!$B$21*tips_table!$L59</f>
        <v>-0.16049652843020407</v>
      </c>
      <c r="AB59" s="1">
        <f>'Model output'!$B$22*tips_table!$M59</f>
        <v>0.34786623214719364</v>
      </c>
      <c r="AC59" s="1">
        <f>'Model output'!$B$23*tips_table!$N59</f>
        <v>2.4924181371693765</v>
      </c>
      <c r="AD59" s="12">
        <f t="shared" si="5"/>
        <v>3.5286383182363905</v>
      </c>
    </row>
    <row r="60" spans="1:30" x14ac:dyDescent="0.3">
      <c r="A60" s="1" t="s">
        <v>11</v>
      </c>
      <c r="B60" s="1" t="s">
        <v>13</v>
      </c>
      <c r="C60" s="1" t="s">
        <v>12</v>
      </c>
      <c r="D60" s="1" t="s">
        <v>10</v>
      </c>
      <c r="E60" s="1">
        <v>2</v>
      </c>
      <c r="F60" s="12">
        <v>11.24</v>
      </c>
      <c r="G60" s="12">
        <v>1.76</v>
      </c>
      <c r="I60" s="1">
        <f t="shared" si="0"/>
        <v>1</v>
      </c>
      <c r="J60" s="1">
        <f t="shared" si="1"/>
        <v>2</v>
      </c>
      <c r="K60" s="1">
        <f t="shared" si="2"/>
        <v>1</v>
      </c>
      <c r="L60" s="1">
        <f t="shared" si="6"/>
        <v>3</v>
      </c>
      <c r="M60" s="1">
        <v>2</v>
      </c>
      <c r="N60" s="12">
        <v>11.24</v>
      </c>
      <c r="O60" s="12">
        <v>1.76</v>
      </c>
      <c r="P60" s="12">
        <f>'Model output'!$B$17+'Model output'!$B$18*tips_table!$I60+'Model output'!$B$19*tips_table!$J60+'Model output'!$B$20*tips_table!$K60+'Model output'!$B$21*tips_table!$L60+'Model output'!$B$22*tips_table!$M60+'Model output'!$B$23*tips_table!$N60</f>
        <v>1.9861129837725431</v>
      </c>
      <c r="Q60" s="8">
        <f t="shared" si="3"/>
        <v>-0.22611298377254307</v>
      </c>
      <c r="R60" s="16">
        <f t="shared" si="4"/>
        <v>5.1127081430522331E-2</v>
      </c>
      <c r="W60" s="1">
        <v>0.75944339705833919</v>
      </c>
      <c r="X60" s="1">
        <f>'Model output'!$B$18*tips_table!$I60</f>
        <v>3.7183538040686311E-2</v>
      </c>
      <c r="Y60" s="1">
        <f>'Model output'!$B$20*tips_table!$K60</f>
        <v>8.8727762736486165E-2</v>
      </c>
      <c r="Z60" s="1">
        <f>'Model output'!$B$19*tips_table!$J60</f>
        <v>-0.14737551705234733</v>
      </c>
      <c r="AA60" s="1">
        <f>'Model output'!$B$21*tips_table!$L60</f>
        <v>-0.16049652843020407</v>
      </c>
      <c r="AB60" s="1">
        <f>'Model output'!$B$22*tips_table!$M60</f>
        <v>0.34786623214719364</v>
      </c>
      <c r="AC60" s="1">
        <f>'Model output'!$B$23*tips_table!$N60</f>
        <v>1.060764099272389</v>
      </c>
      <c r="AD60" s="12">
        <f t="shared" si="5"/>
        <v>1.9861129837725431</v>
      </c>
    </row>
    <row r="61" spans="1:30" x14ac:dyDescent="0.3">
      <c r="A61" s="1" t="s">
        <v>11</v>
      </c>
      <c r="B61" s="1" t="s">
        <v>8</v>
      </c>
      <c r="C61" s="1" t="s">
        <v>12</v>
      </c>
      <c r="D61" s="1" t="s">
        <v>10</v>
      </c>
      <c r="E61" s="1">
        <v>4</v>
      </c>
      <c r="F61" s="12">
        <v>48.27</v>
      </c>
      <c r="G61" s="12">
        <v>6.73</v>
      </c>
      <c r="I61" s="1">
        <f t="shared" si="0"/>
        <v>1</v>
      </c>
      <c r="J61" s="1">
        <f t="shared" si="1"/>
        <v>1</v>
      </c>
      <c r="K61" s="1">
        <f t="shared" si="2"/>
        <v>1</v>
      </c>
      <c r="L61" s="1">
        <f t="shared" si="6"/>
        <v>3</v>
      </c>
      <c r="M61" s="1">
        <v>4</v>
      </c>
      <c r="N61" s="12">
        <v>48.27</v>
      </c>
      <c r="O61" s="12">
        <v>6.73</v>
      </c>
      <c r="P61" s="12">
        <f>'Model output'!$B$17+'Model output'!$B$18*tips_table!$I61+'Model output'!$B$19*tips_table!$J61+'Model output'!$B$20*tips_table!$K61+'Model output'!$B$21*tips_table!$L61+'Model output'!$B$22*tips_table!$M61+'Model output'!$B$23*tips_table!$N61</f>
        <v>5.9023373121733629</v>
      </c>
      <c r="Q61" s="8">
        <f t="shared" si="3"/>
        <v>0.82766268782663754</v>
      </c>
      <c r="R61" s="16">
        <f t="shared" si="4"/>
        <v>0.68502552482041412</v>
      </c>
      <c r="W61" s="1">
        <v>0.75944339705833919</v>
      </c>
      <c r="X61" s="1">
        <f>'Model output'!$B$18*tips_table!$I61</f>
        <v>3.7183538040686311E-2</v>
      </c>
      <c r="Y61" s="1">
        <f>'Model output'!$B$20*tips_table!$K61</f>
        <v>8.8727762736486165E-2</v>
      </c>
      <c r="Z61" s="1">
        <f>'Model output'!$B$19*tips_table!$J61</f>
        <v>-7.3687758526173666E-2</v>
      </c>
      <c r="AA61" s="1">
        <f>'Model output'!$B$21*tips_table!$L61</f>
        <v>-0.16049652843020407</v>
      </c>
      <c r="AB61" s="1">
        <f>'Model output'!$B$22*tips_table!$M61</f>
        <v>0.69573246429438729</v>
      </c>
      <c r="AC61" s="1">
        <f>'Model output'!$B$23*tips_table!$N61</f>
        <v>4.5554344369998416</v>
      </c>
      <c r="AD61" s="12">
        <f t="shared" si="5"/>
        <v>5.9023373121733629</v>
      </c>
    </row>
    <row r="62" spans="1:30" x14ac:dyDescent="0.3">
      <c r="A62" s="1" t="s">
        <v>11</v>
      </c>
      <c r="B62" s="1" t="s">
        <v>13</v>
      </c>
      <c r="C62" s="1" t="s">
        <v>12</v>
      </c>
      <c r="D62" s="1" t="s">
        <v>10</v>
      </c>
      <c r="E62" s="1">
        <v>2</v>
      </c>
      <c r="F62" s="12">
        <v>20.29</v>
      </c>
      <c r="G62" s="12">
        <v>3.21</v>
      </c>
      <c r="I62" s="1">
        <f t="shared" si="0"/>
        <v>1</v>
      </c>
      <c r="J62" s="1">
        <f t="shared" si="1"/>
        <v>2</v>
      </c>
      <c r="K62" s="1">
        <f t="shared" si="2"/>
        <v>1</v>
      </c>
      <c r="L62" s="1">
        <f t="shared" si="6"/>
        <v>3</v>
      </c>
      <c r="M62" s="1">
        <v>2</v>
      </c>
      <c r="N62" s="12">
        <v>20.29</v>
      </c>
      <c r="O62" s="12">
        <v>3.21</v>
      </c>
      <c r="P62" s="12">
        <f>'Model output'!$B$17+'Model output'!$B$18*tips_table!$I62+'Model output'!$B$19*tips_table!$J62+'Model output'!$B$20*tips_table!$K62+'Model output'!$B$21*tips_table!$L62+'Model output'!$B$22*tips_table!$M62+'Model output'!$B$23*tips_table!$N62</f>
        <v>2.840197956941148</v>
      </c>
      <c r="Q62" s="8">
        <f t="shared" si="3"/>
        <v>0.369802043058852</v>
      </c>
      <c r="R62" s="16">
        <f t="shared" si="4"/>
        <v>0.13675355105050102</v>
      </c>
      <c r="W62" s="1">
        <v>0.75944339705833919</v>
      </c>
      <c r="X62" s="1">
        <f>'Model output'!$B$18*tips_table!$I62</f>
        <v>3.7183538040686311E-2</v>
      </c>
      <c r="Y62" s="1">
        <f>'Model output'!$B$20*tips_table!$K62</f>
        <v>8.8727762736486165E-2</v>
      </c>
      <c r="Z62" s="1">
        <f>'Model output'!$B$19*tips_table!$J62</f>
        <v>-0.14737551705234733</v>
      </c>
      <c r="AA62" s="1">
        <f>'Model output'!$B$21*tips_table!$L62</f>
        <v>-0.16049652843020407</v>
      </c>
      <c r="AB62" s="1">
        <f>'Model output'!$B$22*tips_table!$M62</f>
        <v>0.34786623214719364</v>
      </c>
      <c r="AC62" s="1">
        <f>'Model output'!$B$23*tips_table!$N62</f>
        <v>1.9148490724409939</v>
      </c>
      <c r="AD62" s="12">
        <f t="shared" si="5"/>
        <v>2.840197956941148</v>
      </c>
    </row>
    <row r="63" spans="1:30" x14ac:dyDescent="0.3">
      <c r="A63" s="1" t="s">
        <v>11</v>
      </c>
      <c r="B63" s="1" t="s">
        <v>13</v>
      </c>
      <c r="C63" s="1" t="s">
        <v>12</v>
      </c>
      <c r="D63" s="1" t="s">
        <v>10</v>
      </c>
      <c r="E63" s="1">
        <v>2</v>
      </c>
      <c r="F63" s="12">
        <v>13.81</v>
      </c>
      <c r="G63" s="12">
        <v>2</v>
      </c>
      <c r="I63" s="1">
        <f t="shared" si="0"/>
        <v>1</v>
      </c>
      <c r="J63" s="1">
        <f t="shared" si="1"/>
        <v>2</v>
      </c>
      <c r="K63" s="1">
        <f t="shared" si="2"/>
        <v>1</v>
      </c>
      <c r="L63" s="1">
        <f t="shared" si="6"/>
        <v>3</v>
      </c>
      <c r="M63" s="1">
        <v>2</v>
      </c>
      <c r="N63" s="12">
        <v>13.81</v>
      </c>
      <c r="O63" s="12">
        <v>2</v>
      </c>
      <c r="P63" s="12">
        <f>'Model output'!$B$17+'Model output'!$B$18*tips_table!$I63+'Model output'!$B$19*tips_table!$J63+'Model output'!$B$20*tips_table!$K63+'Model output'!$B$21*tips_table!$L63+'Model output'!$B$22*tips_table!$M63+'Model output'!$B$23*tips_table!$N63</f>
        <v>2.2286542413463901</v>
      </c>
      <c r="Q63" s="8">
        <f t="shared" si="3"/>
        <v>-0.22865424134639012</v>
      </c>
      <c r="R63" s="16">
        <f t="shared" si="4"/>
        <v>5.228276208569322E-2</v>
      </c>
      <c r="W63" s="1">
        <v>0.75944339705833919</v>
      </c>
      <c r="X63" s="1">
        <f>'Model output'!$B$18*tips_table!$I63</f>
        <v>3.7183538040686311E-2</v>
      </c>
      <c r="Y63" s="1">
        <f>'Model output'!$B$20*tips_table!$K63</f>
        <v>8.8727762736486165E-2</v>
      </c>
      <c r="Z63" s="1">
        <f>'Model output'!$B$19*tips_table!$J63</f>
        <v>-0.14737551705234733</v>
      </c>
      <c r="AA63" s="1">
        <f>'Model output'!$B$21*tips_table!$L63</f>
        <v>-0.16049652843020407</v>
      </c>
      <c r="AB63" s="1">
        <f>'Model output'!$B$22*tips_table!$M63</f>
        <v>0.34786623214719364</v>
      </c>
      <c r="AC63" s="1">
        <f>'Model output'!$B$23*tips_table!$N63</f>
        <v>1.3033053568462361</v>
      </c>
      <c r="AD63" s="12">
        <f t="shared" si="5"/>
        <v>2.2286542413463901</v>
      </c>
    </row>
    <row r="64" spans="1:30" x14ac:dyDescent="0.3">
      <c r="A64" s="1" t="s">
        <v>11</v>
      </c>
      <c r="B64" s="1" t="s">
        <v>13</v>
      </c>
      <c r="C64" s="1" t="s">
        <v>12</v>
      </c>
      <c r="D64" s="1" t="s">
        <v>10</v>
      </c>
      <c r="E64" s="1">
        <v>2</v>
      </c>
      <c r="F64" s="12">
        <v>11.02</v>
      </c>
      <c r="G64" s="12">
        <v>1.98</v>
      </c>
      <c r="I64" s="1">
        <f t="shared" si="0"/>
        <v>1</v>
      </c>
      <c r="J64" s="1">
        <f t="shared" si="1"/>
        <v>2</v>
      </c>
      <c r="K64" s="1">
        <f t="shared" si="2"/>
        <v>1</v>
      </c>
      <c r="L64" s="1">
        <f t="shared" si="6"/>
        <v>3</v>
      </c>
      <c r="M64" s="1">
        <v>2</v>
      </c>
      <c r="N64" s="12">
        <v>11.02</v>
      </c>
      <c r="O64" s="12">
        <v>1.98</v>
      </c>
      <c r="P64" s="12">
        <f>'Model output'!$B$17+'Model output'!$B$18*tips_table!$I64+'Model output'!$B$19*tips_table!$J64+'Model output'!$B$20*tips_table!$K64+'Model output'!$B$21*tips_table!$L64+'Model output'!$B$22*tips_table!$M64+'Model output'!$B$23*tips_table!$N64</f>
        <v>1.9653506971319803</v>
      </c>
      <c r="Q64" s="8">
        <f t="shared" si="3"/>
        <v>1.4649302868019687E-2</v>
      </c>
      <c r="R64" s="16">
        <f t="shared" si="4"/>
        <v>2.1460207451896981E-4</v>
      </c>
      <c r="W64" s="1">
        <v>0.75944339705833919</v>
      </c>
      <c r="X64" s="1">
        <f>'Model output'!$B$18*tips_table!$I64</f>
        <v>3.7183538040686311E-2</v>
      </c>
      <c r="Y64" s="1">
        <f>'Model output'!$B$20*tips_table!$K64</f>
        <v>8.8727762736486165E-2</v>
      </c>
      <c r="Z64" s="1">
        <f>'Model output'!$B$19*tips_table!$J64</f>
        <v>-0.14737551705234733</v>
      </c>
      <c r="AA64" s="1">
        <f>'Model output'!$B$21*tips_table!$L64</f>
        <v>-0.16049652843020407</v>
      </c>
      <c r="AB64" s="1">
        <f>'Model output'!$B$22*tips_table!$M64</f>
        <v>0.34786623214719364</v>
      </c>
      <c r="AC64" s="1">
        <f>'Model output'!$B$23*tips_table!$N64</f>
        <v>1.0400018126318262</v>
      </c>
      <c r="AD64" s="12">
        <f t="shared" si="5"/>
        <v>1.9653506971319803</v>
      </c>
    </row>
    <row r="65" spans="1:30" x14ac:dyDescent="0.3">
      <c r="A65" s="1" t="s">
        <v>11</v>
      </c>
      <c r="B65" s="1" t="s">
        <v>13</v>
      </c>
      <c r="C65" s="1" t="s">
        <v>12</v>
      </c>
      <c r="D65" s="1" t="s">
        <v>10</v>
      </c>
      <c r="E65" s="1">
        <v>4</v>
      </c>
      <c r="F65" s="12">
        <v>18.29</v>
      </c>
      <c r="G65" s="12">
        <v>3.76</v>
      </c>
      <c r="I65" s="1">
        <f t="shared" si="0"/>
        <v>1</v>
      </c>
      <c r="J65" s="1">
        <f t="shared" si="1"/>
        <v>2</v>
      </c>
      <c r="K65" s="1">
        <f t="shared" si="2"/>
        <v>1</v>
      </c>
      <c r="L65" s="1">
        <f t="shared" si="6"/>
        <v>3</v>
      </c>
      <c r="M65" s="1">
        <v>4</v>
      </c>
      <c r="N65" s="12">
        <v>18.29</v>
      </c>
      <c r="O65" s="12">
        <v>3.76</v>
      </c>
      <c r="P65" s="12">
        <f>'Model output'!$B$17+'Model output'!$B$18*tips_table!$I65+'Model output'!$B$19*tips_table!$J65+'Model output'!$B$20*tips_table!$K65+'Model output'!$B$21*tips_table!$L65+'Model output'!$B$22*tips_table!$M65+'Model output'!$B$23*tips_table!$N65</f>
        <v>2.9993161287195891</v>
      </c>
      <c r="Q65" s="8">
        <f t="shared" si="3"/>
        <v>0.76068387128041071</v>
      </c>
      <c r="R65" s="16">
        <f t="shared" si="4"/>
        <v>0.57863995202615248</v>
      </c>
      <c r="W65" s="1">
        <v>0.75944339705833919</v>
      </c>
      <c r="X65" s="1">
        <f>'Model output'!$B$18*tips_table!$I65</f>
        <v>3.7183538040686311E-2</v>
      </c>
      <c r="Y65" s="1">
        <f>'Model output'!$B$20*tips_table!$K65</f>
        <v>8.8727762736486165E-2</v>
      </c>
      <c r="Z65" s="1">
        <f>'Model output'!$B$19*tips_table!$J65</f>
        <v>-0.14737551705234733</v>
      </c>
      <c r="AA65" s="1">
        <f>'Model output'!$B$21*tips_table!$L65</f>
        <v>-0.16049652843020407</v>
      </c>
      <c r="AB65" s="1">
        <f>'Model output'!$B$22*tips_table!$M65</f>
        <v>0.69573246429438729</v>
      </c>
      <c r="AC65" s="1">
        <f>'Model output'!$B$23*tips_table!$N65</f>
        <v>1.7261010120722415</v>
      </c>
      <c r="AD65" s="12">
        <f t="shared" si="5"/>
        <v>2.9993161287195891</v>
      </c>
    </row>
    <row r="66" spans="1:30" x14ac:dyDescent="0.3">
      <c r="A66" s="1" t="s">
        <v>11</v>
      </c>
      <c r="B66" s="1" t="s">
        <v>8</v>
      </c>
      <c r="C66" s="1" t="s">
        <v>12</v>
      </c>
      <c r="D66" s="1" t="s">
        <v>10</v>
      </c>
      <c r="E66" s="1">
        <v>3</v>
      </c>
      <c r="F66" s="12">
        <v>17.59</v>
      </c>
      <c r="G66" s="12">
        <v>2.64</v>
      </c>
      <c r="I66" s="1">
        <f t="shared" si="0"/>
        <v>1</v>
      </c>
      <c r="J66" s="1">
        <f t="shared" si="1"/>
        <v>1</v>
      </c>
      <c r="K66" s="1">
        <f t="shared" si="2"/>
        <v>1</v>
      </c>
      <c r="L66" s="1">
        <f t="shared" si="6"/>
        <v>3</v>
      </c>
      <c r="M66" s="1">
        <v>3</v>
      </c>
      <c r="N66" s="12">
        <v>17.59</v>
      </c>
      <c r="O66" s="12">
        <v>2.64</v>
      </c>
      <c r="P66" s="12">
        <f>'Model output'!$B$17+'Model output'!$B$18*tips_table!$I66+'Model output'!$B$19*tips_table!$J66+'Model output'!$B$20*tips_table!$K66+'Model output'!$B$21*tips_table!$L66+'Model output'!$B$22*tips_table!$M66+'Model output'!$B$23*tips_table!$N66</f>
        <v>2.8330089500431024</v>
      </c>
      <c r="Q66" s="8">
        <f t="shared" si="3"/>
        <v>-0.19300895004310226</v>
      </c>
      <c r="R66" s="16">
        <f t="shared" si="4"/>
        <v>3.725245479674074E-2</v>
      </c>
      <c r="W66" s="1">
        <v>0.75944339705833919</v>
      </c>
      <c r="X66" s="1">
        <f>'Model output'!$B$18*tips_table!$I66</f>
        <v>3.7183538040686311E-2</v>
      </c>
      <c r="Y66" s="1">
        <f>'Model output'!$B$20*tips_table!$K66</f>
        <v>8.8727762736486165E-2</v>
      </c>
      <c r="Z66" s="1">
        <f>'Model output'!$B$19*tips_table!$J66</f>
        <v>-7.3687758526173666E-2</v>
      </c>
      <c r="AA66" s="1">
        <f>'Model output'!$B$21*tips_table!$L66</f>
        <v>-0.16049652843020407</v>
      </c>
      <c r="AB66" s="1">
        <f>'Model output'!$B$22*tips_table!$M66</f>
        <v>0.52179934822079044</v>
      </c>
      <c r="AC66" s="1">
        <f>'Model output'!$B$23*tips_table!$N66</f>
        <v>1.6600391909431782</v>
      </c>
      <c r="AD66" s="12">
        <f t="shared" si="5"/>
        <v>2.8330089500431024</v>
      </c>
    </row>
    <row r="67" spans="1:30" x14ac:dyDescent="0.3">
      <c r="A67" s="1" t="s">
        <v>11</v>
      </c>
      <c r="B67" s="1" t="s">
        <v>8</v>
      </c>
      <c r="C67" s="1" t="s">
        <v>12</v>
      </c>
      <c r="D67" s="1" t="s">
        <v>10</v>
      </c>
      <c r="E67" s="1">
        <v>3</v>
      </c>
      <c r="F67" s="12">
        <v>20.079999999999998</v>
      </c>
      <c r="G67" s="12">
        <v>3.15</v>
      </c>
      <c r="I67" s="1">
        <f t="shared" ref="I67:I130" si="7">IF($A67="Male",1,2)</f>
        <v>1</v>
      </c>
      <c r="J67" s="1">
        <f t="shared" ref="J67:J130" si="8">IF($B67="Yes",2,1)</f>
        <v>1</v>
      </c>
      <c r="K67" s="1">
        <f t="shared" ref="K67:K130" si="9">IF($D67="Dinner",1,2)</f>
        <v>1</v>
      </c>
      <c r="L67" s="1">
        <f t="shared" si="6"/>
        <v>3</v>
      </c>
      <c r="M67" s="1">
        <v>3</v>
      </c>
      <c r="N67" s="12">
        <v>20.079999999999998</v>
      </c>
      <c r="O67" s="12">
        <v>3.15</v>
      </c>
      <c r="P67" s="12">
        <f>'Model output'!$B$17+'Model output'!$B$18*tips_table!$I67+'Model output'!$B$19*tips_table!$J67+'Model output'!$B$20*tips_table!$K67+'Model output'!$B$21*tips_table!$L67+'Model output'!$B$22*tips_table!$M67+'Model output'!$B$23*tips_table!$N67</f>
        <v>3.0680002852021993</v>
      </c>
      <c r="Q67" s="8">
        <f t="shared" ref="Q67:Q130" si="10">O67-P67</f>
        <v>8.199971479780066E-2</v>
      </c>
      <c r="R67" s="16">
        <f t="shared" ref="R67:R130" si="11">Q67^2</f>
        <v>6.7239532269206485E-3</v>
      </c>
      <c r="W67" s="1">
        <v>0.75944339705833919</v>
      </c>
      <c r="X67" s="1">
        <f>'Model output'!$B$18*tips_table!$I67</f>
        <v>3.7183538040686311E-2</v>
      </c>
      <c r="Y67" s="1">
        <f>'Model output'!$B$20*tips_table!$K67</f>
        <v>8.8727762736486165E-2</v>
      </c>
      <c r="Z67" s="1">
        <f>'Model output'!$B$19*tips_table!$J67</f>
        <v>-7.3687758526173666E-2</v>
      </c>
      <c r="AA67" s="1">
        <f>'Model output'!$B$21*tips_table!$L67</f>
        <v>-0.16049652843020407</v>
      </c>
      <c r="AB67" s="1">
        <f>'Model output'!$B$22*tips_table!$M67</f>
        <v>0.52179934822079044</v>
      </c>
      <c r="AC67" s="1">
        <f>'Model output'!$B$23*tips_table!$N67</f>
        <v>1.8950305261022748</v>
      </c>
      <c r="AD67" s="12">
        <f t="shared" ref="AD67:AD130" si="12">W67+X67+Y67+Z67+AA67+AB67+AC67</f>
        <v>3.0680002852021993</v>
      </c>
    </row>
    <row r="68" spans="1:30" x14ac:dyDescent="0.3">
      <c r="A68" s="1" t="s">
        <v>7</v>
      </c>
      <c r="B68" s="1" t="s">
        <v>8</v>
      </c>
      <c r="C68" s="1" t="s">
        <v>12</v>
      </c>
      <c r="D68" s="1" t="s">
        <v>10</v>
      </c>
      <c r="E68" s="1">
        <v>2</v>
      </c>
      <c r="F68" s="12">
        <v>16.45</v>
      </c>
      <c r="G68" s="12">
        <v>2.4700000000000002</v>
      </c>
      <c r="I68" s="1">
        <f t="shared" si="7"/>
        <v>2</v>
      </c>
      <c r="J68" s="1">
        <f t="shared" si="8"/>
        <v>1</v>
      </c>
      <c r="K68" s="1">
        <f t="shared" si="9"/>
        <v>1</v>
      </c>
      <c r="L68" s="1">
        <f t="shared" ref="L68:L131" si="13">IF($C68="Sun",1,IF($C68="fri",2,IF($C68="sat",3,IF($C68="thur",4))))</f>
        <v>3</v>
      </c>
      <c r="M68" s="1">
        <v>2</v>
      </c>
      <c r="N68" s="12">
        <v>16.45</v>
      </c>
      <c r="O68" s="12">
        <v>2.4700000000000002</v>
      </c>
      <c r="P68" s="12">
        <f>'Model output'!$B$17+'Model output'!$B$18*tips_table!$I68+'Model output'!$B$19*tips_table!$J68+'Model output'!$B$20*tips_table!$K68+'Model output'!$B$21*tips_table!$L68+'Model output'!$B$22*tips_table!$M68+'Model output'!$B$23*tips_table!$N68</f>
        <v>2.5886729776000035</v>
      </c>
      <c r="Q68" s="8">
        <f t="shared" si="10"/>
        <v>-0.11867297760000328</v>
      </c>
      <c r="R68" s="16">
        <f t="shared" si="11"/>
        <v>1.4083275612450881E-2</v>
      </c>
      <c r="W68" s="1">
        <v>0.75944339705833919</v>
      </c>
      <c r="X68" s="1">
        <f>'Model output'!$B$18*tips_table!$I68</f>
        <v>7.4367076081372621E-2</v>
      </c>
      <c r="Y68" s="1">
        <f>'Model output'!$B$20*tips_table!$K68</f>
        <v>8.8727762736486165E-2</v>
      </c>
      <c r="Z68" s="1">
        <f>'Model output'!$B$19*tips_table!$J68</f>
        <v>-7.3687758526173666E-2</v>
      </c>
      <c r="AA68" s="1">
        <f>'Model output'!$B$21*tips_table!$L68</f>
        <v>-0.16049652843020407</v>
      </c>
      <c r="AB68" s="1">
        <f>'Model output'!$B$22*tips_table!$M68</f>
        <v>0.34786623214719364</v>
      </c>
      <c r="AC68" s="1">
        <f>'Model output'!$B$23*tips_table!$N68</f>
        <v>1.5524527965329893</v>
      </c>
      <c r="AD68" s="12">
        <f t="shared" si="12"/>
        <v>2.5886729776000035</v>
      </c>
    </row>
    <row r="69" spans="1:30" x14ac:dyDescent="0.3">
      <c r="A69" s="1" t="s">
        <v>7</v>
      </c>
      <c r="B69" s="1" t="s">
        <v>13</v>
      </c>
      <c r="C69" s="1" t="s">
        <v>12</v>
      </c>
      <c r="D69" s="1" t="s">
        <v>10</v>
      </c>
      <c r="E69" s="1">
        <v>1</v>
      </c>
      <c r="F69" s="12">
        <v>3.07</v>
      </c>
      <c r="G69" s="12">
        <v>1</v>
      </c>
      <c r="I69" s="1">
        <f t="shared" si="7"/>
        <v>2</v>
      </c>
      <c r="J69" s="1">
        <f t="shared" si="8"/>
        <v>2</v>
      </c>
      <c r="K69" s="1">
        <f t="shared" si="9"/>
        <v>1</v>
      </c>
      <c r="L69" s="1">
        <f t="shared" si="13"/>
        <v>3</v>
      </c>
      <c r="M69" s="1">
        <v>1</v>
      </c>
      <c r="N69" s="12">
        <v>3.07</v>
      </c>
      <c r="O69" s="12">
        <v>1</v>
      </c>
      <c r="P69" s="12">
        <f>'Model output'!$B$17+'Model output'!$B$18*tips_table!$I69+'Model output'!$B$19*tips_table!$J69+'Model output'!$B$20*tips_table!$K69+'Model output'!$B$21*tips_table!$L69+'Model output'!$B$22*tips_table!$M69+'Model output'!$B$23*tips_table!$N69</f>
        <v>1.0783275791332785</v>
      </c>
      <c r="Q69" s="8">
        <f t="shared" si="10"/>
        <v>-7.832757913327848E-2</v>
      </c>
      <c r="R69" s="16">
        <f t="shared" si="11"/>
        <v>6.1352096528800026E-3</v>
      </c>
      <c r="W69" s="1">
        <v>0.75944339705833919</v>
      </c>
      <c r="X69" s="1">
        <f>'Model output'!$B$18*tips_table!$I69</f>
        <v>7.4367076081372621E-2</v>
      </c>
      <c r="Y69" s="1">
        <f>'Model output'!$B$20*tips_table!$K69</f>
        <v>8.8727762736486165E-2</v>
      </c>
      <c r="Z69" s="1">
        <f>'Model output'!$B$19*tips_table!$J69</f>
        <v>-0.14737551705234733</v>
      </c>
      <c r="AA69" s="1">
        <f>'Model output'!$B$21*tips_table!$L69</f>
        <v>-0.16049652843020407</v>
      </c>
      <c r="AB69" s="1">
        <f>'Model output'!$B$22*tips_table!$M69</f>
        <v>0.17393311607359682</v>
      </c>
      <c r="AC69" s="1">
        <f>'Model output'!$B$23*tips_table!$N69</f>
        <v>0.28972827266603507</v>
      </c>
      <c r="AD69" s="12">
        <f t="shared" si="12"/>
        <v>1.0783275791332785</v>
      </c>
    </row>
    <row r="70" spans="1:30" x14ac:dyDescent="0.3">
      <c r="A70" s="1" t="s">
        <v>11</v>
      </c>
      <c r="B70" s="1" t="s">
        <v>8</v>
      </c>
      <c r="C70" s="1" t="s">
        <v>12</v>
      </c>
      <c r="D70" s="1" t="s">
        <v>10</v>
      </c>
      <c r="E70" s="1">
        <v>2</v>
      </c>
      <c r="F70" s="12">
        <v>20.23</v>
      </c>
      <c r="G70" s="12">
        <v>2.0099999999999998</v>
      </c>
      <c r="I70" s="1">
        <f t="shared" si="7"/>
        <v>1</v>
      </c>
      <c r="J70" s="1">
        <f t="shared" si="8"/>
        <v>1</v>
      </c>
      <c r="K70" s="1">
        <f t="shared" si="9"/>
        <v>1</v>
      </c>
      <c r="L70" s="1">
        <f t="shared" si="13"/>
        <v>3</v>
      </c>
      <c r="M70" s="1">
        <v>2</v>
      </c>
      <c r="N70" s="12">
        <v>20.23</v>
      </c>
      <c r="O70" s="12">
        <v>2.0099999999999998</v>
      </c>
      <c r="P70" s="12">
        <f>'Model output'!$B$17+'Model output'!$B$18*tips_table!$I70+'Model output'!$B$19*tips_table!$J70+'Model output'!$B$20*tips_table!$K70+'Model output'!$B$21*tips_table!$L70+'Model output'!$B$22*tips_table!$M70+'Model output'!$B$23*tips_table!$N70</f>
        <v>2.908223273656259</v>
      </c>
      <c r="Q70" s="8">
        <f t="shared" si="10"/>
        <v>-0.8982232736562592</v>
      </c>
      <c r="R70" s="16">
        <f t="shared" si="11"/>
        <v>0.80680504933776709</v>
      </c>
      <c r="W70" s="1">
        <v>0.75944339705833919</v>
      </c>
      <c r="X70" s="1">
        <f>'Model output'!$B$18*tips_table!$I70</f>
        <v>3.7183538040686311E-2</v>
      </c>
      <c r="Y70" s="1">
        <f>'Model output'!$B$20*tips_table!$K70</f>
        <v>8.8727762736486165E-2</v>
      </c>
      <c r="Z70" s="1">
        <f>'Model output'!$B$19*tips_table!$J70</f>
        <v>-7.3687758526173666E-2</v>
      </c>
      <c r="AA70" s="1">
        <f>'Model output'!$B$21*tips_table!$L70</f>
        <v>-0.16049652843020407</v>
      </c>
      <c r="AB70" s="1">
        <f>'Model output'!$B$22*tips_table!$M70</f>
        <v>0.34786623214719364</v>
      </c>
      <c r="AC70" s="1">
        <f>'Model output'!$B$23*tips_table!$N70</f>
        <v>1.9091866306299314</v>
      </c>
      <c r="AD70" s="12">
        <f t="shared" si="12"/>
        <v>2.908223273656259</v>
      </c>
    </row>
    <row r="71" spans="1:30" x14ac:dyDescent="0.3">
      <c r="A71" s="1" t="s">
        <v>11</v>
      </c>
      <c r="B71" s="1" t="s">
        <v>13</v>
      </c>
      <c r="C71" s="1" t="s">
        <v>12</v>
      </c>
      <c r="D71" s="1" t="s">
        <v>10</v>
      </c>
      <c r="E71" s="1">
        <v>2</v>
      </c>
      <c r="F71" s="12">
        <v>15.01</v>
      </c>
      <c r="G71" s="12">
        <v>2.09</v>
      </c>
      <c r="I71" s="1">
        <f t="shared" si="7"/>
        <v>1</v>
      </c>
      <c r="J71" s="1">
        <f t="shared" si="8"/>
        <v>2</v>
      </c>
      <c r="K71" s="1">
        <f t="shared" si="9"/>
        <v>1</v>
      </c>
      <c r="L71" s="1">
        <f t="shared" si="13"/>
        <v>3</v>
      </c>
      <c r="M71" s="1">
        <v>2</v>
      </c>
      <c r="N71" s="12">
        <v>15.01</v>
      </c>
      <c r="O71" s="12">
        <v>2.09</v>
      </c>
      <c r="P71" s="12">
        <f>'Model output'!$B$17+'Model output'!$B$18*tips_table!$I71+'Model output'!$B$19*tips_table!$J71+'Model output'!$B$20*tips_table!$K71+'Model output'!$B$21*tips_table!$L71+'Model output'!$B$22*tips_table!$M71+'Model output'!$B$23*tips_table!$N71</f>
        <v>2.3419030775676415</v>
      </c>
      <c r="Q71" s="8">
        <f t="shared" si="10"/>
        <v>-0.25190307756764163</v>
      </c>
      <c r="R71" s="16">
        <f t="shared" si="11"/>
        <v>6.3455160488049278E-2</v>
      </c>
      <c r="W71" s="1">
        <v>0.75944339705833919</v>
      </c>
      <c r="X71" s="1">
        <f>'Model output'!$B$18*tips_table!$I71</f>
        <v>3.7183538040686311E-2</v>
      </c>
      <c r="Y71" s="1">
        <f>'Model output'!$B$20*tips_table!$K71</f>
        <v>8.8727762736486165E-2</v>
      </c>
      <c r="Z71" s="1">
        <f>'Model output'!$B$19*tips_table!$J71</f>
        <v>-0.14737551705234733</v>
      </c>
      <c r="AA71" s="1">
        <f>'Model output'!$B$21*tips_table!$L71</f>
        <v>-0.16049652843020407</v>
      </c>
      <c r="AB71" s="1">
        <f>'Model output'!$B$22*tips_table!$M71</f>
        <v>0.34786623214719364</v>
      </c>
      <c r="AC71" s="1">
        <f>'Model output'!$B$23*tips_table!$N71</f>
        <v>1.4165541930674874</v>
      </c>
      <c r="AD71" s="12">
        <f t="shared" si="12"/>
        <v>2.3419030775676415</v>
      </c>
    </row>
    <row r="72" spans="1:30" x14ac:dyDescent="0.3">
      <c r="A72" s="1" t="s">
        <v>11</v>
      </c>
      <c r="B72" s="1" t="s">
        <v>8</v>
      </c>
      <c r="C72" s="1" t="s">
        <v>12</v>
      </c>
      <c r="D72" s="1" t="s">
        <v>10</v>
      </c>
      <c r="E72" s="1">
        <v>2</v>
      </c>
      <c r="F72" s="12">
        <v>12.02</v>
      </c>
      <c r="G72" s="12">
        <v>1.97</v>
      </c>
      <c r="I72" s="1">
        <f t="shared" si="7"/>
        <v>1</v>
      </c>
      <c r="J72" s="1">
        <f t="shared" si="8"/>
        <v>1</v>
      </c>
      <c r="K72" s="1">
        <f t="shared" si="9"/>
        <v>1</v>
      </c>
      <c r="L72" s="1">
        <f t="shared" si="13"/>
        <v>3</v>
      </c>
      <c r="M72" s="1">
        <v>2</v>
      </c>
      <c r="N72" s="12">
        <v>12.02</v>
      </c>
      <c r="O72" s="12">
        <v>1.97</v>
      </c>
      <c r="P72" s="12">
        <f>'Model output'!$B$17+'Model output'!$B$18*tips_table!$I72+'Model output'!$B$19*tips_table!$J72+'Model output'!$B$20*tips_table!$K72+'Model output'!$B$21*tips_table!$L72+'Model output'!$B$22*tips_table!$M72+'Model output'!$B$23*tips_table!$N72</f>
        <v>2.1334124858425301</v>
      </c>
      <c r="Q72" s="8">
        <f t="shared" si="10"/>
        <v>-0.1634124858425301</v>
      </c>
      <c r="R72" s="16">
        <f t="shared" si="11"/>
        <v>2.6703640529235101E-2</v>
      </c>
      <c r="W72" s="1">
        <v>0.75944339705833919</v>
      </c>
      <c r="X72" s="1">
        <f>'Model output'!$B$18*tips_table!$I72</f>
        <v>3.7183538040686311E-2</v>
      </c>
      <c r="Y72" s="1">
        <f>'Model output'!$B$20*tips_table!$K72</f>
        <v>8.8727762736486165E-2</v>
      </c>
      <c r="Z72" s="1">
        <f>'Model output'!$B$19*tips_table!$J72</f>
        <v>-7.3687758526173666E-2</v>
      </c>
      <c r="AA72" s="1">
        <f>'Model output'!$B$21*tips_table!$L72</f>
        <v>-0.16049652843020407</v>
      </c>
      <c r="AB72" s="1">
        <f>'Model output'!$B$22*tips_table!$M72</f>
        <v>0.34786623214719364</v>
      </c>
      <c r="AC72" s="1">
        <f>'Model output'!$B$23*tips_table!$N72</f>
        <v>1.1343758428162025</v>
      </c>
      <c r="AD72" s="12">
        <f t="shared" si="12"/>
        <v>2.1334124858425301</v>
      </c>
    </row>
    <row r="73" spans="1:30" x14ac:dyDescent="0.3">
      <c r="A73" s="1" t="s">
        <v>7</v>
      </c>
      <c r="B73" s="1" t="s">
        <v>8</v>
      </c>
      <c r="C73" s="1" t="s">
        <v>12</v>
      </c>
      <c r="D73" s="1" t="s">
        <v>10</v>
      </c>
      <c r="E73" s="1">
        <v>3</v>
      </c>
      <c r="F73" s="12">
        <v>17.07</v>
      </c>
      <c r="G73" s="12">
        <v>3</v>
      </c>
      <c r="I73" s="1">
        <f t="shared" si="7"/>
        <v>2</v>
      </c>
      <c r="J73" s="1">
        <f t="shared" si="8"/>
        <v>1</v>
      </c>
      <c r="K73" s="1">
        <f t="shared" si="9"/>
        <v>1</v>
      </c>
      <c r="L73" s="1">
        <f t="shared" si="13"/>
        <v>3</v>
      </c>
      <c r="M73" s="1">
        <v>3</v>
      </c>
      <c r="N73" s="12">
        <v>17.07</v>
      </c>
      <c r="O73" s="12">
        <v>3</v>
      </c>
      <c r="P73" s="12">
        <f>'Model output'!$B$17+'Model output'!$B$18*tips_table!$I73+'Model output'!$B$19*tips_table!$J73+'Model output'!$B$20*tips_table!$K73+'Model output'!$B$21*tips_table!$L73+'Model output'!$B$22*tips_table!$M73+'Model output'!$B$23*tips_table!$N73</f>
        <v>2.8211179923879133</v>
      </c>
      <c r="Q73" s="8">
        <f t="shared" si="10"/>
        <v>0.17888200761208672</v>
      </c>
      <c r="R73" s="16">
        <f t="shared" si="11"/>
        <v>3.1998772647330656E-2</v>
      </c>
      <c r="W73" s="1">
        <v>0.75944339705833919</v>
      </c>
      <c r="X73" s="1">
        <f>'Model output'!$B$18*tips_table!$I73</f>
        <v>7.4367076081372621E-2</v>
      </c>
      <c r="Y73" s="1">
        <f>'Model output'!$B$20*tips_table!$K73</f>
        <v>8.8727762736486165E-2</v>
      </c>
      <c r="Z73" s="1">
        <f>'Model output'!$B$19*tips_table!$J73</f>
        <v>-7.3687758526173666E-2</v>
      </c>
      <c r="AA73" s="1">
        <f>'Model output'!$B$21*tips_table!$L73</f>
        <v>-0.16049652843020407</v>
      </c>
      <c r="AB73" s="1">
        <f>'Model output'!$B$22*tips_table!$M73</f>
        <v>0.52179934822079044</v>
      </c>
      <c r="AC73" s="1">
        <f>'Model output'!$B$23*tips_table!$N73</f>
        <v>1.6109646952473027</v>
      </c>
      <c r="AD73" s="12">
        <f t="shared" si="12"/>
        <v>2.8211179923879133</v>
      </c>
    </row>
    <row r="74" spans="1:30" x14ac:dyDescent="0.3">
      <c r="A74" s="1" t="s">
        <v>7</v>
      </c>
      <c r="B74" s="1" t="s">
        <v>13</v>
      </c>
      <c r="C74" s="1" t="s">
        <v>12</v>
      </c>
      <c r="D74" s="1" t="s">
        <v>10</v>
      </c>
      <c r="E74" s="1">
        <v>2</v>
      </c>
      <c r="F74" s="12">
        <v>26.86</v>
      </c>
      <c r="G74" s="12">
        <v>3.14</v>
      </c>
      <c r="I74" s="1">
        <f t="shared" si="7"/>
        <v>2</v>
      </c>
      <c r="J74" s="1">
        <f t="shared" si="8"/>
        <v>2</v>
      </c>
      <c r="K74" s="1">
        <f t="shared" si="9"/>
        <v>1</v>
      </c>
      <c r="L74" s="1">
        <f t="shared" si="13"/>
        <v>3</v>
      </c>
      <c r="M74" s="1">
        <v>2</v>
      </c>
      <c r="N74" s="12">
        <v>26.86</v>
      </c>
      <c r="O74" s="12">
        <v>3.14</v>
      </c>
      <c r="P74" s="12">
        <f>'Model output'!$B$17+'Model output'!$B$18*tips_table!$I74+'Model output'!$B$19*tips_table!$J74+'Model output'!$B$20*tips_table!$K74+'Model output'!$B$21*tips_table!$L74+'Model output'!$B$22*tips_table!$M74+'Model output'!$B$23*tips_table!$N74</f>
        <v>3.4974188732931859</v>
      </c>
      <c r="Q74" s="8">
        <f t="shared" si="10"/>
        <v>-0.35741887329318578</v>
      </c>
      <c r="R74" s="16">
        <f t="shared" si="11"/>
        <v>0.1277482509861704</v>
      </c>
      <c r="W74" s="1">
        <v>0.75944339705833919</v>
      </c>
      <c r="X74" s="1">
        <f>'Model output'!$B$18*tips_table!$I74</f>
        <v>7.4367076081372621E-2</v>
      </c>
      <c r="Y74" s="1">
        <f>'Model output'!$B$20*tips_table!$K74</f>
        <v>8.8727762736486165E-2</v>
      </c>
      <c r="Z74" s="1">
        <f>'Model output'!$B$19*tips_table!$J74</f>
        <v>-0.14737551705234733</v>
      </c>
      <c r="AA74" s="1">
        <f>'Model output'!$B$21*tips_table!$L74</f>
        <v>-0.16049652843020407</v>
      </c>
      <c r="AB74" s="1">
        <f>'Model output'!$B$22*tips_table!$M74</f>
        <v>0.34786623214719364</v>
      </c>
      <c r="AC74" s="1">
        <f>'Model output'!$B$23*tips_table!$N74</f>
        <v>2.5348864507523459</v>
      </c>
      <c r="AD74" s="12">
        <f t="shared" si="12"/>
        <v>3.4974188732931859</v>
      </c>
    </row>
    <row r="75" spans="1:30" x14ac:dyDescent="0.3">
      <c r="A75" s="1" t="s">
        <v>7</v>
      </c>
      <c r="B75" s="1" t="s">
        <v>13</v>
      </c>
      <c r="C75" s="1" t="s">
        <v>12</v>
      </c>
      <c r="D75" s="1" t="s">
        <v>10</v>
      </c>
      <c r="E75" s="1">
        <v>2</v>
      </c>
      <c r="F75" s="12">
        <v>25.28</v>
      </c>
      <c r="G75" s="12">
        <v>5</v>
      </c>
      <c r="I75" s="1">
        <f t="shared" si="7"/>
        <v>2</v>
      </c>
      <c r="J75" s="1">
        <f t="shared" si="8"/>
        <v>2</v>
      </c>
      <c r="K75" s="1">
        <f t="shared" si="9"/>
        <v>1</v>
      </c>
      <c r="L75" s="1">
        <f t="shared" si="13"/>
        <v>3</v>
      </c>
      <c r="M75" s="1">
        <v>2</v>
      </c>
      <c r="N75" s="12">
        <v>25.28</v>
      </c>
      <c r="O75" s="12">
        <v>5</v>
      </c>
      <c r="P75" s="12">
        <f>'Model output'!$B$17+'Model output'!$B$18*tips_table!$I75+'Model output'!$B$19*tips_table!$J75+'Model output'!$B$20*tips_table!$K75+'Model output'!$B$21*tips_table!$L75+'Model output'!$B$22*tips_table!$M75+'Model output'!$B$23*tips_table!$N75</f>
        <v>3.3483079056018719</v>
      </c>
      <c r="Q75" s="8">
        <f t="shared" si="10"/>
        <v>1.6516920943981281</v>
      </c>
      <c r="R75" s="16">
        <f t="shared" si="11"/>
        <v>2.728086774697275</v>
      </c>
      <c r="W75" s="1">
        <v>0.75944339705833919</v>
      </c>
      <c r="X75" s="1">
        <f>'Model output'!$B$18*tips_table!$I75</f>
        <v>7.4367076081372621E-2</v>
      </c>
      <c r="Y75" s="1">
        <f>'Model output'!$B$20*tips_table!$K75</f>
        <v>8.8727762736486165E-2</v>
      </c>
      <c r="Z75" s="1">
        <f>'Model output'!$B$19*tips_table!$J75</f>
        <v>-0.14737551705234733</v>
      </c>
      <c r="AA75" s="1">
        <f>'Model output'!$B$21*tips_table!$L75</f>
        <v>-0.16049652843020407</v>
      </c>
      <c r="AB75" s="1">
        <f>'Model output'!$B$22*tips_table!$M75</f>
        <v>0.34786623214719364</v>
      </c>
      <c r="AC75" s="1">
        <f>'Model output'!$B$23*tips_table!$N75</f>
        <v>2.3857754830610318</v>
      </c>
      <c r="AD75" s="12">
        <f t="shared" si="12"/>
        <v>3.3483079056018719</v>
      </c>
    </row>
    <row r="76" spans="1:30" x14ac:dyDescent="0.3">
      <c r="A76" s="1" t="s">
        <v>7</v>
      </c>
      <c r="B76" s="1" t="s">
        <v>8</v>
      </c>
      <c r="C76" s="1" t="s">
        <v>12</v>
      </c>
      <c r="D76" s="1" t="s">
        <v>10</v>
      </c>
      <c r="E76" s="1">
        <v>2</v>
      </c>
      <c r="F76" s="12">
        <v>14.73</v>
      </c>
      <c r="G76" s="12">
        <v>2.2000000000000002</v>
      </c>
      <c r="I76" s="1">
        <f t="shared" si="7"/>
        <v>2</v>
      </c>
      <c r="J76" s="1">
        <f t="shared" si="8"/>
        <v>1</v>
      </c>
      <c r="K76" s="1">
        <f t="shared" si="9"/>
        <v>1</v>
      </c>
      <c r="L76" s="1">
        <f t="shared" si="13"/>
        <v>3</v>
      </c>
      <c r="M76" s="1">
        <v>2</v>
      </c>
      <c r="N76" s="12">
        <v>14.73</v>
      </c>
      <c r="O76" s="12">
        <v>2.2000000000000002</v>
      </c>
      <c r="P76" s="12">
        <f>'Model output'!$B$17+'Model output'!$B$18*tips_table!$I76+'Model output'!$B$19*tips_table!$J76+'Model output'!$B$20*tips_table!$K76+'Model output'!$B$21*tips_table!$L76+'Model output'!$B$22*tips_table!$M76+'Model output'!$B$23*tips_table!$N76</f>
        <v>2.4263496456828761</v>
      </c>
      <c r="Q76" s="8">
        <f t="shared" si="10"/>
        <v>-0.22634964568287597</v>
      </c>
      <c r="R76" s="16">
        <f t="shared" si="11"/>
        <v>5.1234162100763488E-2</v>
      </c>
      <c r="W76" s="1">
        <v>0.75944339705833919</v>
      </c>
      <c r="X76" s="1">
        <f>'Model output'!$B$18*tips_table!$I76</f>
        <v>7.4367076081372621E-2</v>
      </c>
      <c r="Y76" s="1">
        <f>'Model output'!$B$20*tips_table!$K76</f>
        <v>8.8727762736486165E-2</v>
      </c>
      <c r="Z76" s="1">
        <f>'Model output'!$B$19*tips_table!$J76</f>
        <v>-7.3687758526173666E-2</v>
      </c>
      <c r="AA76" s="1">
        <f>'Model output'!$B$21*tips_table!$L76</f>
        <v>-0.16049652843020407</v>
      </c>
      <c r="AB76" s="1">
        <f>'Model output'!$B$22*tips_table!$M76</f>
        <v>0.34786623214719364</v>
      </c>
      <c r="AC76" s="1">
        <f>'Model output'!$B$23*tips_table!$N76</f>
        <v>1.3901294646158622</v>
      </c>
      <c r="AD76" s="12">
        <f t="shared" si="12"/>
        <v>2.4263496456828761</v>
      </c>
    </row>
    <row r="77" spans="1:30" x14ac:dyDescent="0.3">
      <c r="A77" s="1" t="s">
        <v>11</v>
      </c>
      <c r="B77" s="1" t="s">
        <v>8</v>
      </c>
      <c r="C77" s="1" t="s">
        <v>12</v>
      </c>
      <c r="D77" s="1" t="s">
        <v>10</v>
      </c>
      <c r="E77" s="1">
        <v>2</v>
      </c>
      <c r="F77" s="12">
        <v>10.51</v>
      </c>
      <c r="G77" s="12">
        <v>1.25</v>
      </c>
      <c r="I77" s="1">
        <f t="shared" si="7"/>
        <v>1</v>
      </c>
      <c r="J77" s="1">
        <f t="shared" si="8"/>
        <v>1</v>
      </c>
      <c r="K77" s="1">
        <f t="shared" si="9"/>
        <v>1</v>
      </c>
      <c r="L77" s="1">
        <f t="shared" si="13"/>
        <v>3</v>
      </c>
      <c r="M77" s="1">
        <v>2</v>
      </c>
      <c r="N77" s="12">
        <v>10.51</v>
      </c>
      <c r="O77" s="12">
        <v>1.25</v>
      </c>
      <c r="P77" s="12">
        <f>'Model output'!$B$17+'Model output'!$B$18*tips_table!$I77+'Model output'!$B$19*tips_table!$J77+'Model output'!$B$20*tips_table!$K77+'Model output'!$B$21*tips_table!$L77+'Model output'!$B$22*tips_table!$M77+'Model output'!$B$23*tips_table!$N77</f>
        <v>1.9909077002641218</v>
      </c>
      <c r="Q77" s="8">
        <f t="shared" si="10"/>
        <v>-0.74090770026412178</v>
      </c>
      <c r="R77" s="16">
        <f t="shared" si="11"/>
        <v>0.54894422031066969</v>
      </c>
      <c r="W77" s="1">
        <v>0.75944339705833919</v>
      </c>
      <c r="X77" s="1">
        <f>'Model output'!$B$18*tips_table!$I77</f>
        <v>3.7183538040686311E-2</v>
      </c>
      <c r="Y77" s="1">
        <f>'Model output'!$B$20*tips_table!$K77</f>
        <v>8.8727762736486165E-2</v>
      </c>
      <c r="Z77" s="1">
        <f>'Model output'!$B$19*tips_table!$J77</f>
        <v>-7.3687758526173666E-2</v>
      </c>
      <c r="AA77" s="1">
        <f>'Model output'!$B$21*tips_table!$L77</f>
        <v>-0.16049652843020407</v>
      </c>
      <c r="AB77" s="1">
        <f>'Model output'!$B$22*tips_table!$M77</f>
        <v>0.34786623214719364</v>
      </c>
      <c r="AC77" s="1">
        <f>'Model output'!$B$23*tips_table!$N77</f>
        <v>0.99187105723779434</v>
      </c>
      <c r="AD77" s="12">
        <f t="shared" si="12"/>
        <v>1.9909077002641218</v>
      </c>
    </row>
    <row r="78" spans="1:30" x14ac:dyDescent="0.3">
      <c r="A78" s="1" t="s">
        <v>11</v>
      </c>
      <c r="B78" s="1" t="s">
        <v>13</v>
      </c>
      <c r="C78" s="1" t="s">
        <v>12</v>
      </c>
      <c r="D78" s="1" t="s">
        <v>10</v>
      </c>
      <c r="E78" s="1">
        <v>2</v>
      </c>
      <c r="F78" s="12">
        <v>17.920000000000002</v>
      </c>
      <c r="G78" s="12">
        <v>3.08</v>
      </c>
      <c r="I78" s="1">
        <f t="shared" si="7"/>
        <v>1</v>
      </c>
      <c r="J78" s="1">
        <f t="shared" si="8"/>
        <v>2</v>
      </c>
      <c r="K78" s="1">
        <f t="shared" si="9"/>
        <v>1</v>
      </c>
      <c r="L78" s="1">
        <f t="shared" si="13"/>
        <v>3</v>
      </c>
      <c r="M78" s="1">
        <v>2</v>
      </c>
      <c r="N78" s="12">
        <v>17.920000000000002</v>
      </c>
      <c r="O78" s="12">
        <v>3.08</v>
      </c>
      <c r="P78" s="12">
        <f>'Model output'!$B$17+'Model output'!$B$18*tips_table!$I78+'Model output'!$B$19*tips_table!$J78+'Model output'!$B$20*tips_table!$K78+'Model output'!$B$21*tips_table!$L78+'Model output'!$B$22*tips_table!$M78+'Model output'!$B$23*tips_table!$N78</f>
        <v>2.6165315054041764</v>
      </c>
      <c r="Q78" s="8">
        <f t="shared" si="10"/>
        <v>0.46346849459582362</v>
      </c>
      <c r="R78" s="16">
        <f t="shared" si="11"/>
        <v>0.21480304548291898</v>
      </c>
      <c r="W78" s="1">
        <v>0.75944339705833919</v>
      </c>
      <c r="X78" s="1">
        <f>'Model output'!$B$18*tips_table!$I78</f>
        <v>3.7183538040686311E-2</v>
      </c>
      <c r="Y78" s="1">
        <f>'Model output'!$B$20*tips_table!$K78</f>
        <v>8.8727762736486165E-2</v>
      </c>
      <c r="Z78" s="1">
        <f>'Model output'!$B$19*tips_table!$J78</f>
        <v>-0.14737551705234733</v>
      </c>
      <c r="AA78" s="1">
        <f>'Model output'!$B$21*tips_table!$L78</f>
        <v>-0.16049652843020407</v>
      </c>
      <c r="AB78" s="1">
        <f>'Model output'!$B$22*tips_table!$M78</f>
        <v>0.34786623214719364</v>
      </c>
      <c r="AC78" s="1">
        <f>'Model output'!$B$23*tips_table!$N78</f>
        <v>1.6911826209040226</v>
      </c>
      <c r="AD78" s="12">
        <f t="shared" si="12"/>
        <v>2.6165315054041764</v>
      </c>
    </row>
    <row r="79" spans="1:30" x14ac:dyDescent="0.3">
      <c r="A79" s="1" t="s">
        <v>11</v>
      </c>
      <c r="B79" s="1" t="s">
        <v>8</v>
      </c>
      <c r="C79" s="1" t="s">
        <v>14</v>
      </c>
      <c r="D79" s="1" t="s">
        <v>15</v>
      </c>
      <c r="E79" s="1">
        <v>4</v>
      </c>
      <c r="F79" s="12">
        <v>27.2</v>
      </c>
      <c r="G79" s="12">
        <v>4</v>
      </c>
      <c r="I79" s="1">
        <f t="shared" si="7"/>
        <v>1</v>
      </c>
      <c r="J79" s="1">
        <f t="shared" si="8"/>
        <v>1</v>
      </c>
      <c r="K79" s="1">
        <f t="shared" si="9"/>
        <v>2</v>
      </c>
      <c r="L79" s="1">
        <f t="shared" si="13"/>
        <v>4</v>
      </c>
      <c r="M79" s="1">
        <v>4</v>
      </c>
      <c r="N79" s="12">
        <v>27.2</v>
      </c>
      <c r="O79" s="12">
        <v>4</v>
      </c>
      <c r="P79" s="12">
        <f>'Model output'!$B$17+'Model output'!$B$18*tips_table!$I79+'Model output'!$B$19*tips_table!$J79+'Model output'!$B$20*tips_table!$K79+'Model output'!$B$21*tips_table!$L79+'Model output'!$B$22*tips_table!$M79+'Model output'!$B$23*tips_table!$N79</f>
        <v>3.949105416114973</v>
      </c>
      <c r="Q79" s="8">
        <f t="shared" si="10"/>
        <v>5.0894583885026989E-2</v>
      </c>
      <c r="R79" s="16">
        <f t="shared" si="11"/>
        <v>2.5902586688300489E-3</v>
      </c>
      <c r="W79" s="1">
        <v>0.75944339705833919</v>
      </c>
      <c r="X79" s="1">
        <f>'Model output'!$B$18*tips_table!$I79</f>
        <v>3.7183538040686311E-2</v>
      </c>
      <c r="Y79" s="1">
        <f>'Model output'!$B$20*tips_table!$K79</f>
        <v>0.17745552547297233</v>
      </c>
      <c r="Z79" s="1">
        <f>'Model output'!$B$19*tips_table!$J79</f>
        <v>-7.3687758526173666E-2</v>
      </c>
      <c r="AA79" s="1">
        <f>'Model output'!$B$21*tips_table!$L79</f>
        <v>-0.2139953712402721</v>
      </c>
      <c r="AB79" s="1">
        <f>'Model output'!$B$22*tips_table!$M79</f>
        <v>0.69573246429438729</v>
      </c>
      <c r="AC79" s="1">
        <f>'Model output'!$B$23*tips_table!$N79</f>
        <v>2.566973621015034</v>
      </c>
      <c r="AD79" s="12">
        <f t="shared" si="12"/>
        <v>3.949105416114973</v>
      </c>
    </row>
    <row r="80" spans="1:30" x14ac:dyDescent="0.3">
      <c r="A80" s="1" t="s">
        <v>11</v>
      </c>
      <c r="B80" s="1" t="s">
        <v>8</v>
      </c>
      <c r="C80" s="1" t="s">
        <v>14</v>
      </c>
      <c r="D80" s="1" t="s">
        <v>15</v>
      </c>
      <c r="E80" s="1">
        <v>2</v>
      </c>
      <c r="F80" s="12">
        <v>22.76</v>
      </c>
      <c r="G80" s="12">
        <v>3</v>
      </c>
      <c r="I80" s="1">
        <f t="shared" si="7"/>
        <v>1</v>
      </c>
      <c r="J80" s="1">
        <f t="shared" si="8"/>
        <v>1</v>
      </c>
      <c r="K80" s="1">
        <f t="shared" si="9"/>
        <v>2</v>
      </c>
      <c r="L80" s="1">
        <f t="shared" si="13"/>
        <v>4</v>
      </c>
      <c r="M80" s="1">
        <v>2</v>
      </c>
      <c r="N80" s="12">
        <v>22.76</v>
      </c>
      <c r="O80" s="12">
        <v>3</v>
      </c>
      <c r="P80" s="12">
        <f>'Model output'!$B$17+'Model output'!$B$18*tips_table!$I80+'Model output'!$B$19*tips_table!$J80+'Model output'!$B$20*tips_table!$K80+'Model output'!$B$21*tips_table!$L80+'Model output'!$B$22*tips_table!$M80+'Model output'!$B$23*tips_table!$N80</f>
        <v>3.1822184899491495</v>
      </c>
      <c r="Q80" s="8">
        <f t="shared" si="10"/>
        <v>-0.18221848994914946</v>
      </c>
      <c r="R80" s="16">
        <f t="shared" si="11"/>
        <v>3.3203578079348282E-2</v>
      </c>
      <c r="W80" s="1">
        <v>0.75944339705833919</v>
      </c>
      <c r="X80" s="1">
        <f>'Model output'!$B$18*tips_table!$I80</f>
        <v>3.7183538040686311E-2</v>
      </c>
      <c r="Y80" s="1">
        <f>'Model output'!$B$20*tips_table!$K80</f>
        <v>0.17745552547297233</v>
      </c>
      <c r="Z80" s="1">
        <f>'Model output'!$B$19*tips_table!$J80</f>
        <v>-7.3687758526173666E-2</v>
      </c>
      <c r="AA80" s="1">
        <f>'Model output'!$B$21*tips_table!$L80</f>
        <v>-0.2139953712402721</v>
      </c>
      <c r="AB80" s="1">
        <f>'Model output'!$B$22*tips_table!$M80</f>
        <v>0.34786623214719364</v>
      </c>
      <c r="AC80" s="1">
        <f>'Model output'!$B$23*tips_table!$N80</f>
        <v>2.1479529269964037</v>
      </c>
      <c r="AD80" s="12">
        <f t="shared" si="12"/>
        <v>3.1822184899491495</v>
      </c>
    </row>
    <row r="81" spans="1:30" x14ac:dyDescent="0.3">
      <c r="A81" s="1" t="s">
        <v>11</v>
      </c>
      <c r="B81" s="1" t="s">
        <v>8</v>
      </c>
      <c r="C81" s="1" t="s">
        <v>14</v>
      </c>
      <c r="D81" s="1" t="s">
        <v>15</v>
      </c>
      <c r="E81" s="1">
        <v>2</v>
      </c>
      <c r="F81" s="12">
        <v>17.29</v>
      </c>
      <c r="G81" s="12">
        <v>2.71</v>
      </c>
      <c r="I81" s="1">
        <f t="shared" si="7"/>
        <v>1</v>
      </c>
      <c r="J81" s="1">
        <f t="shared" si="8"/>
        <v>1</v>
      </c>
      <c r="K81" s="1">
        <f t="shared" si="9"/>
        <v>2</v>
      </c>
      <c r="L81" s="1">
        <f t="shared" si="13"/>
        <v>4</v>
      </c>
      <c r="M81" s="1">
        <v>2</v>
      </c>
      <c r="N81" s="12">
        <v>17.29</v>
      </c>
      <c r="O81" s="12">
        <v>2.71</v>
      </c>
      <c r="P81" s="12">
        <f>'Model output'!$B$17+'Model output'!$B$18*tips_table!$I81+'Model output'!$B$19*tips_table!$J81+'Model output'!$B$20*tips_table!$K81+'Model output'!$B$21*tips_table!$L81+'Model output'!$B$22*tips_table!$M81+'Model output'!$B$23*tips_table!$N81</f>
        <v>2.665992544840611</v>
      </c>
      <c r="Q81" s="8">
        <f t="shared" si="10"/>
        <v>4.4007455159388975E-2</v>
      </c>
      <c r="R81" s="16">
        <f t="shared" si="11"/>
        <v>1.9366561096056314E-3</v>
      </c>
      <c r="W81" s="1">
        <v>0.75944339705833919</v>
      </c>
      <c r="X81" s="1">
        <f>'Model output'!$B$18*tips_table!$I81</f>
        <v>3.7183538040686311E-2</v>
      </c>
      <c r="Y81" s="1">
        <f>'Model output'!$B$20*tips_table!$K81</f>
        <v>0.17745552547297233</v>
      </c>
      <c r="Z81" s="1">
        <f>'Model output'!$B$19*tips_table!$J81</f>
        <v>-7.3687758526173666E-2</v>
      </c>
      <c r="AA81" s="1">
        <f>'Model output'!$B$21*tips_table!$L81</f>
        <v>-0.2139953712402721</v>
      </c>
      <c r="AB81" s="1">
        <f>'Model output'!$B$22*tips_table!$M81</f>
        <v>0.34786623214719364</v>
      </c>
      <c r="AC81" s="1">
        <f>'Model output'!$B$23*tips_table!$N81</f>
        <v>1.6317269818878652</v>
      </c>
      <c r="AD81" s="12">
        <f t="shared" si="12"/>
        <v>2.665992544840611</v>
      </c>
    </row>
    <row r="82" spans="1:30" x14ac:dyDescent="0.3">
      <c r="A82" s="1" t="s">
        <v>11</v>
      </c>
      <c r="B82" s="1" t="s">
        <v>13</v>
      </c>
      <c r="C82" s="1" t="s">
        <v>14</v>
      </c>
      <c r="D82" s="1" t="s">
        <v>15</v>
      </c>
      <c r="E82" s="1">
        <v>2</v>
      </c>
      <c r="F82" s="12">
        <v>19.440000000000001</v>
      </c>
      <c r="G82" s="12">
        <v>3</v>
      </c>
      <c r="I82" s="1">
        <f t="shared" si="7"/>
        <v>1</v>
      </c>
      <c r="J82" s="1">
        <f t="shared" si="8"/>
        <v>2</v>
      </c>
      <c r="K82" s="1">
        <f t="shared" si="9"/>
        <v>2</v>
      </c>
      <c r="L82" s="1">
        <f t="shared" si="13"/>
        <v>4</v>
      </c>
      <c r="M82" s="1">
        <v>2</v>
      </c>
      <c r="N82" s="12">
        <v>19.440000000000001</v>
      </c>
      <c r="O82" s="12">
        <v>3</v>
      </c>
      <c r="P82" s="12">
        <f>'Model output'!$B$17+'Model output'!$B$18*tips_table!$I82+'Model output'!$B$19*tips_table!$J82+'Model output'!$B$20*tips_table!$K82+'Model output'!$B$21*tips_table!$L82+'Model output'!$B$22*tips_table!$M82+'Model output'!$B$23*tips_table!$N82</f>
        <v>2.7952089512108467</v>
      </c>
      <c r="Q82" s="8">
        <f t="shared" si="10"/>
        <v>0.20479104878915333</v>
      </c>
      <c r="R82" s="16">
        <f t="shared" si="11"/>
        <v>4.1939373664161381E-2</v>
      </c>
      <c r="W82" s="1">
        <v>0.75944339705833919</v>
      </c>
      <c r="X82" s="1">
        <f>'Model output'!$B$18*tips_table!$I82</f>
        <v>3.7183538040686311E-2</v>
      </c>
      <c r="Y82" s="1">
        <f>'Model output'!$B$20*tips_table!$K82</f>
        <v>0.17745552547297233</v>
      </c>
      <c r="Z82" s="1">
        <f>'Model output'!$B$19*tips_table!$J82</f>
        <v>-0.14737551705234733</v>
      </c>
      <c r="AA82" s="1">
        <f>'Model output'!$B$21*tips_table!$L82</f>
        <v>-0.2139953712402721</v>
      </c>
      <c r="AB82" s="1">
        <f>'Model output'!$B$22*tips_table!$M82</f>
        <v>0.34786623214719364</v>
      </c>
      <c r="AC82" s="1">
        <f>'Model output'!$B$23*tips_table!$N82</f>
        <v>1.8346311467842744</v>
      </c>
      <c r="AD82" s="12">
        <f t="shared" si="12"/>
        <v>2.7952089512108467</v>
      </c>
    </row>
    <row r="83" spans="1:30" x14ac:dyDescent="0.3">
      <c r="A83" s="1" t="s">
        <v>11</v>
      </c>
      <c r="B83" s="1" t="s">
        <v>8</v>
      </c>
      <c r="C83" s="1" t="s">
        <v>14</v>
      </c>
      <c r="D83" s="1" t="s">
        <v>15</v>
      </c>
      <c r="E83" s="1">
        <v>2</v>
      </c>
      <c r="F83" s="12">
        <v>16.66</v>
      </c>
      <c r="G83" s="12">
        <v>3.4</v>
      </c>
      <c r="I83" s="1">
        <f t="shared" si="7"/>
        <v>1</v>
      </c>
      <c r="J83" s="1">
        <f t="shared" si="8"/>
        <v>1</v>
      </c>
      <c r="K83" s="1">
        <f t="shared" si="9"/>
        <v>2</v>
      </c>
      <c r="L83" s="1">
        <f t="shared" si="13"/>
        <v>4</v>
      </c>
      <c r="M83" s="1">
        <v>2</v>
      </c>
      <c r="N83" s="12">
        <v>16.66</v>
      </c>
      <c r="O83" s="12">
        <v>3.4</v>
      </c>
      <c r="P83" s="12">
        <f>'Model output'!$B$17+'Model output'!$B$18*tips_table!$I83+'Model output'!$B$19*tips_table!$J83+'Model output'!$B$20*tips_table!$K83+'Model output'!$B$21*tips_table!$L83+'Model output'!$B$22*tips_table!$M83+'Model output'!$B$23*tips_table!$N83</f>
        <v>2.6065369058244539</v>
      </c>
      <c r="Q83" s="8">
        <f t="shared" si="10"/>
        <v>0.79346309417554606</v>
      </c>
      <c r="R83" s="16">
        <f t="shared" si="11"/>
        <v>0.62958368181863145</v>
      </c>
      <c r="W83" s="1">
        <v>0.75944339705833919</v>
      </c>
      <c r="X83" s="1">
        <f>'Model output'!$B$18*tips_table!$I83</f>
        <v>3.7183538040686311E-2</v>
      </c>
      <c r="Y83" s="1">
        <f>'Model output'!$B$20*tips_table!$K83</f>
        <v>0.17745552547297233</v>
      </c>
      <c r="Z83" s="1">
        <f>'Model output'!$B$19*tips_table!$J83</f>
        <v>-7.3687758526173666E-2</v>
      </c>
      <c r="AA83" s="1">
        <f>'Model output'!$B$21*tips_table!$L83</f>
        <v>-0.2139953712402721</v>
      </c>
      <c r="AB83" s="1">
        <f>'Model output'!$B$22*tips_table!$M83</f>
        <v>0.34786623214719364</v>
      </c>
      <c r="AC83" s="1">
        <f>'Model output'!$B$23*tips_table!$N83</f>
        <v>1.5722713428717083</v>
      </c>
      <c r="AD83" s="12">
        <f t="shared" si="12"/>
        <v>2.6065369058244539</v>
      </c>
    </row>
    <row r="84" spans="1:30" x14ac:dyDescent="0.3">
      <c r="A84" s="1" t="s">
        <v>7</v>
      </c>
      <c r="B84" s="1" t="s">
        <v>8</v>
      </c>
      <c r="C84" s="1" t="s">
        <v>14</v>
      </c>
      <c r="D84" s="1" t="s">
        <v>15</v>
      </c>
      <c r="E84" s="1">
        <v>1</v>
      </c>
      <c r="F84" s="12">
        <v>10.07</v>
      </c>
      <c r="G84" s="12">
        <v>1.83</v>
      </c>
      <c r="I84" s="1">
        <f t="shared" si="7"/>
        <v>2</v>
      </c>
      <c r="J84" s="1">
        <f t="shared" si="8"/>
        <v>1</v>
      </c>
      <c r="K84" s="1">
        <f t="shared" si="9"/>
        <v>2</v>
      </c>
      <c r="L84" s="1">
        <f t="shared" si="13"/>
        <v>4</v>
      </c>
      <c r="M84" s="1">
        <v>1</v>
      </c>
      <c r="N84" s="12">
        <v>10.07</v>
      </c>
      <c r="O84" s="12">
        <v>1.83</v>
      </c>
      <c r="P84" s="12">
        <f>'Model output'!$B$17+'Model output'!$B$18*tips_table!$I84+'Model output'!$B$19*tips_table!$J84+'Model output'!$B$20*tips_table!$K84+'Model output'!$B$21*tips_table!$L84+'Model output'!$B$22*tips_table!$M84+'Model output'!$B$23*tips_table!$N84</f>
        <v>1.847862468876504</v>
      </c>
      <c r="Q84" s="8">
        <f t="shared" si="10"/>
        <v>-1.786246887650389E-2</v>
      </c>
      <c r="R84" s="16">
        <f t="shared" si="11"/>
        <v>3.1906779436407015E-4</v>
      </c>
      <c r="W84" s="1">
        <v>0.75944339705833919</v>
      </c>
      <c r="X84" s="1">
        <f>'Model output'!$B$18*tips_table!$I84</f>
        <v>7.4367076081372621E-2</v>
      </c>
      <c r="Y84" s="1">
        <f>'Model output'!$B$20*tips_table!$K84</f>
        <v>0.17745552547297233</v>
      </c>
      <c r="Z84" s="1">
        <f>'Model output'!$B$19*tips_table!$J84</f>
        <v>-7.3687758526173666E-2</v>
      </c>
      <c r="AA84" s="1">
        <f>'Model output'!$B$21*tips_table!$L84</f>
        <v>-0.2139953712402721</v>
      </c>
      <c r="AB84" s="1">
        <f>'Model output'!$B$22*tips_table!$M84</f>
        <v>0.17393311607359682</v>
      </c>
      <c r="AC84" s="1">
        <f>'Model output'!$B$23*tips_table!$N84</f>
        <v>0.95034648395666887</v>
      </c>
      <c r="AD84" s="12">
        <f t="shared" si="12"/>
        <v>1.847862468876504</v>
      </c>
    </row>
    <row r="85" spans="1:30" x14ac:dyDescent="0.3">
      <c r="A85" s="1" t="s">
        <v>11</v>
      </c>
      <c r="B85" s="1" t="s">
        <v>13</v>
      </c>
      <c r="C85" s="1" t="s">
        <v>14</v>
      </c>
      <c r="D85" s="1" t="s">
        <v>15</v>
      </c>
      <c r="E85" s="1">
        <v>2</v>
      </c>
      <c r="F85" s="12">
        <v>32.68</v>
      </c>
      <c r="G85" s="12">
        <v>5</v>
      </c>
      <c r="I85" s="1">
        <f t="shared" si="7"/>
        <v>1</v>
      </c>
      <c r="J85" s="1">
        <f t="shared" si="8"/>
        <v>2</v>
      </c>
      <c r="K85" s="1">
        <f t="shared" si="9"/>
        <v>2</v>
      </c>
      <c r="L85" s="1">
        <f t="shared" si="13"/>
        <v>4</v>
      </c>
      <c r="M85" s="1">
        <v>2</v>
      </c>
      <c r="N85" s="12">
        <v>32.68</v>
      </c>
      <c r="O85" s="12">
        <v>5</v>
      </c>
      <c r="P85" s="12">
        <f>'Model output'!$B$17+'Model output'!$B$18*tips_table!$I85+'Model output'!$B$19*tips_table!$J85+'Model output'!$B$20*tips_table!$K85+'Model output'!$B$21*tips_table!$L85+'Model output'!$B$22*tips_table!$M85+'Model output'!$B$23*tips_table!$N85</f>
        <v>4.044721110851988</v>
      </c>
      <c r="Q85" s="8">
        <f t="shared" si="10"/>
        <v>0.95527888914801196</v>
      </c>
      <c r="R85" s="16">
        <f t="shared" si="11"/>
        <v>0.91255775605185974</v>
      </c>
      <c r="W85" s="1">
        <v>0.75944339705833919</v>
      </c>
      <c r="X85" s="1">
        <f>'Model output'!$B$18*tips_table!$I85</f>
        <v>3.7183538040686311E-2</v>
      </c>
      <c r="Y85" s="1">
        <f>'Model output'!$B$20*tips_table!$K85</f>
        <v>0.17745552547297233</v>
      </c>
      <c r="Z85" s="1">
        <f>'Model output'!$B$19*tips_table!$J85</f>
        <v>-0.14737551705234733</v>
      </c>
      <c r="AA85" s="1">
        <f>'Model output'!$B$21*tips_table!$L85</f>
        <v>-0.2139953712402721</v>
      </c>
      <c r="AB85" s="1">
        <f>'Model output'!$B$22*tips_table!$M85</f>
        <v>0.34786623214719364</v>
      </c>
      <c r="AC85" s="1">
        <f>'Model output'!$B$23*tips_table!$N85</f>
        <v>3.0841433064254158</v>
      </c>
      <c r="AD85" s="12">
        <f t="shared" si="12"/>
        <v>4.044721110851988</v>
      </c>
    </row>
    <row r="86" spans="1:30" x14ac:dyDescent="0.3">
      <c r="A86" s="1" t="s">
        <v>11</v>
      </c>
      <c r="B86" s="1" t="s">
        <v>8</v>
      </c>
      <c r="C86" s="1" t="s">
        <v>14</v>
      </c>
      <c r="D86" s="1" t="s">
        <v>15</v>
      </c>
      <c r="E86" s="1">
        <v>2</v>
      </c>
      <c r="F86" s="12">
        <v>15.98</v>
      </c>
      <c r="G86" s="12">
        <v>2.0299999999999998</v>
      </c>
      <c r="I86" s="1">
        <f t="shared" si="7"/>
        <v>1</v>
      </c>
      <c r="J86" s="1">
        <f t="shared" si="8"/>
        <v>1</v>
      </c>
      <c r="K86" s="1">
        <f t="shared" si="9"/>
        <v>2</v>
      </c>
      <c r="L86" s="1">
        <f t="shared" si="13"/>
        <v>4</v>
      </c>
      <c r="M86" s="1">
        <v>2</v>
      </c>
      <c r="N86" s="12">
        <v>15.98</v>
      </c>
      <c r="O86" s="12">
        <v>2.0299999999999998</v>
      </c>
      <c r="P86" s="12">
        <f>'Model output'!$B$17+'Model output'!$B$18*tips_table!$I86+'Model output'!$B$19*tips_table!$J86+'Model output'!$B$20*tips_table!$K86+'Model output'!$B$21*tips_table!$L86+'Model output'!$B$22*tips_table!$M86+'Model output'!$B$23*tips_table!$N86</f>
        <v>2.542362565299078</v>
      </c>
      <c r="Q86" s="8">
        <f t="shared" si="10"/>
        <v>-0.5123625652990782</v>
      </c>
      <c r="R86" s="16">
        <f t="shared" si="11"/>
        <v>0.26251539831985216</v>
      </c>
      <c r="W86" s="1">
        <v>0.75944339705833919</v>
      </c>
      <c r="X86" s="1">
        <f>'Model output'!$B$18*tips_table!$I86</f>
        <v>3.7183538040686311E-2</v>
      </c>
      <c r="Y86" s="1">
        <f>'Model output'!$B$20*tips_table!$K86</f>
        <v>0.17745552547297233</v>
      </c>
      <c r="Z86" s="1">
        <f>'Model output'!$B$19*tips_table!$J86</f>
        <v>-7.3687758526173666E-2</v>
      </c>
      <c r="AA86" s="1">
        <f>'Model output'!$B$21*tips_table!$L86</f>
        <v>-0.2139953712402721</v>
      </c>
      <c r="AB86" s="1">
        <f>'Model output'!$B$22*tips_table!$M86</f>
        <v>0.34786623214719364</v>
      </c>
      <c r="AC86" s="1">
        <f>'Model output'!$B$23*tips_table!$N86</f>
        <v>1.5080970023463325</v>
      </c>
      <c r="AD86" s="12">
        <f t="shared" si="12"/>
        <v>2.542362565299078</v>
      </c>
    </row>
    <row r="87" spans="1:30" x14ac:dyDescent="0.3">
      <c r="A87" s="1" t="s">
        <v>7</v>
      </c>
      <c r="B87" s="1" t="s">
        <v>8</v>
      </c>
      <c r="C87" s="1" t="s">
        <v>14</v>
      </c>
      <c r="D87" s="1" t="s">
        <v>15</v>
      </c>
      <c r="E87" s="1">
        <v>4</v>
      </c>
      <c r="F87" s="12">
        <v>34.83</v>
      </c>
      <c r="G87" s="12">
        <v>5.17</v>
      </c>
      <c r="I87" s="1">
        <f t="shared" si="7"/>
        <v>2</v>
      </c>
      <c r="J87" s="1">
        <f t="shared" si="8"/>
        <v>1</v>
      </c>
      <c r="K87" s="1">
        <f t="shared" si="9"/>
        <v>2</v>
      </c>
      <c r="L87" s="1">
        <f t="shared" si="13"/>
        <v>4</v>
      </c>
      <c r="M87" s="1">
        <v>4</v>
      </c>
      <c r="N87" s="12">
        <v>34.83</v>
      </c>
      <c r="O87" s="12">
        <v>5.17</v>
      </c>
      <c r="P87" s="12">
        <f>'Model output'!$B$17+'Model output'!$B$18*tips_table!$I87+'Model output'!$B$19*tips_table!$J87+'Model output'!$B$20*tips_table!$K87+'Model output'!$B$21*tips_table!$L87+'Model output'!$B$22*tips_table!$M87+'Model output'!$B$23*tips_table!$N87</f>
        <v>4.7063628044624499</v>
      </c>
      <c r="Q87" s="8">
        <f t="shared" si="10"/>
        <v>0.46363719553755001</v>
      </c>
      <c r="R87" s="16">
        <f t="shared" si="11"/>
        <v>0.21495944908592438</v>
      </c>
      <c r="W87" s="1">
        <v>0.75944339705833919</v>
      </c>
      <c r="X87" s="1">
        <f>'Model output'!$B$18*tips_table!$I87</f>
        <v>7.4367076081372621E-2</v>
      </c>
      <c r="Y87" s="1">
        <f>'Model output'!$B$20*tips_table!$K87</f>
        <v>0.17745552547297233</v>
      </c>
      <c r="Z87" s="1">
        <f>'Model output'!$B$19*tips_table!$J87</f>
        <v>-7.3687758526173666E-2</v>
      </c>
      <c r="AA87" s="1">
        <f>'Model output'!$B$21*tips_table!$L87</f>
        <v>-0.2139953712402721</v>
      </c>
      <c r="AB87" s="1">
        <f>'Model output'!$B$22*tips_table!$M87</f>
        <v>0.69573246429438729</v>
      </c>
      <c r="AC87" s="1">
        <f>'Model output'!$B$23*tips_table!$N87</f>
        <v>3.2870474713218245</v>
      </c>
      <c r="AD87" s="12">
        <f t="shared" si="12"/>
        <v>4.7063628044624499</v>
      </c>
    </row>
    <row r="88" spans="1:30" x14ac:dyDescent="0.3">
      <c r="A88" s="1" t="s">
        <v>11</v>
      </c>
      <c r="B88" s="1" t="s">
        <v>8</v>
      </c>
      <c r="C88" s="1" t="s">
        <v>14</v>
      </c>
      <c r="D88" s="1" t="s">
        <v>15</v>
      </c>
      <c r="E88" s="1">
        <v>2</v>
      </c>
      <c r="F88" s="12">
        <v>13.03</v>
      </c>
      <c r="G88" s="12">
        <v>2</v>
      </c>
      <c r="I88" s="1">
        <f t="shared" si="7"/>
        <v>1</v>
      </c>
      <c r="J88" s="1">
        <f t="shared" si="8"/>
        <v>1</v>
      </c>
      <c r="K88" s="1">
        <f t="shared" si="9"/>
        <v>2</v>
      </c>
      <c r="L88" s="1">
        <f t="shared" si="13"/>
        <v>4</v>
      </c>
      <c r="M88" s="1">
        <v>2</v>
      </c>
      <c r="N88" s="12">
        <v>13.03</v>
      </c>
      <c r="O88" s="12">
        <v>2</v>
      </c>
      <c r="P88" s="12">
        <f>'Model output'!$B$17+'Model output'!$B$18*tips_table!$I88+'Model output'!$B$19*tips_table!$J88+'Model output'!$B$20*tips_table!$K88+'Model output'!$B$21*tips_table!$L88+'Model output'!$B$22*tips_table!$M88+'Model output'!$B$23*tips_table!$N88</f>
        <v>2.2639591762551681</v>
      </c>
      <c r="Q88" s="8">
        <f t="shared" si="10"/>
        <v>-0.26395917625516807</v>
      </c>
      <c r="R88" s="16">
        <f t="shared" si="11"/>
        <v>6.967444672930688E-2</v>
      </c>
      <c r="W88" s="1">
        <v>0.75944339705833919</v>
      </c>
      <c r="X88" s="1">
        <f>'Model output'!$B$18*tips_table!$I88</f>
        <v>3.7183538040686311E-2</v>
      </c>
      <c r="Y88" s="1">
        <f>'Model output'!$B$20*tips_table!$K88</f>
        <v>0.17745552547297233</v>
      </c>
      <c r="Z88" s="1">
        <f>'Model output'!$B$19*tips_table!$J88</f>
        <v>-7.3687758526173666E-2</v>
      </c>
      <c r="AA88" s="1">
        <f>'Model output'!$B$21*tips_table!$L88</f>
        <v>-0.2139953712402721</v>
      </c>
      <c r="AB88" s="1">
        <f>'Model output'!$B$22*tips_table!$M88</f>
        <v>0.34786623214719364</v>
      </c>
      <c r="AC88" s="1">
        <f>'Model output'!$B$23*tips_table!$N88</f>
        <v>1.2296936133024226</v>
      </c>
      <c r="AD88" s="12">
        <f t="shared" si="12"/>
        <v>2.2639591762551681</v>
      </c>
    </row>
    <row r="89" spans="1:30" x14ac:dyDescent="0.3">
      <c r="A89" s="1" t="s">
        <v>11</v>
      </c>
      <c r="B89" s="1" t="s">
        <v>8</v>
      </c>
      <c r="C89" s="1" t="s">
        <v>14</v>
      </c>
      <c r="D89" s="1" t="s">
        <v>15</v>
      </c>
      <c r="E89" s="1">
        <v>2</v>
      </c>
      <c r="F89" s="12">
        <v>18.28</v>
      </c>
      <c r="G89" s="12">
        <v>4</v>
      </c>
      <c r="I89" s="1">
        <f t="shared" si="7"/>
        <v>1</v>
      </c>
      <c r="J89" s="1">
        <f t="shared" si="8"/>
        <v>1</v>
      </c>
      <c r="K89" s="1">
        <f t="shared" si="9"/>
        <v>2</v>
      </c>
      <c r="L89" s="1">
        <f t="shared" si="13"/>
        <v>4</v>
      </c>
      <c r="M89" s="1">
        <v>2</v>
      </c>
      <c r="N89" s="12">
        <v>18.28</v>
      </c>
      <c r="O89" s="12">
        <v>4</v>
      </c>
      <c r="P89" s="12">
        <f>'Model output'!$B$17+'Model output'!$B$18*tips_table!$I89+'Model output'!$B$19*tips_table!$J89+'Model output'!$B$20*tips_table!$K89+'Model output'!$B$21*tips_table!$L89+'Model output'!$B$22*tips_table!$M89+'Model output'!$B$23*tips_table!$N89</f>
        <v>2.7594228347231438</v>
      </c>
      <c r="Q89" s="8">
        <f t="shared" si="10"/>
        <v>1.2405771652768562</v>
      </c>
      <c r="R89" s="16">
        <f t="shared" si="11"/>
        <v>1.5390317030063603</v>
      </c>
      <c r="W89" s="1">
        <v>0.75944339705833919</v>
      </c>
      <c r="X89" s="1">
        <f>'Model output'!$B$18*tips_table!$I89</f>
        <v>3.7183538040686311E-2</v>
      </c>
      <c r="Y89" s="1">
        <f>'Model output'!$B$20*tips_table!$K89</f>
        <v>0.17745552547297233</v>
      </c>
      <c r="Z89" s="1">
        <f>'Model output'!$B$19*tips_table!$J89</f>
        <v>-7.3687758526173666E-2</v>
      </c>
      <c r="AA89" s="1">
        <f>'Model output'!$B$21*tips_table!$L89</f>
        <v>-0.2139953712402721</v>
      </c>
      <c r="AB89" s="1">
        <f>'Model output'!$B$22*tips_table!$M89</f>
        <v>0.34786623214719364</v>
      </c>
      <c r="AC89" s="1">
        <f>'Model output'!$B$23*tips_table!$N89</f>
        <v>1.725157271770398</v>
      </c>
      <c r="AD89" s="12">
        <f t="shared" si="12"/>
        <v>2.7594228347231438</v>
      </c>
    </row>
    <row r="90" spans="1:30" x14ac:dyDescent="0.3">
      <c r="A90" s="1" t="s">
        <v>11</v>
      </c>
      <c r="B90" s="1" t="s">
        <v>8</v>
      </c>
      <c r="C90" s="1" t="s">
        <v>14</v>
      </c>
      <c r="D90" s="1" t="s">
        <v>15</v>
      </c>
      <c r="E90" s="1">
        <v>2</v>
      </c>
      <c r="F90" s="12">
        <v>24.71</v>
      </c>
      <c r="G90" s="12">
        <v>5.85</v>
      </c>
      <c r="I90" s="1">
        <f t="shared" si="7"/>
        <v>1</v>
      </c>
      <c r="J90" s="1">
        <f t="shared" si="8"/>
        <v>1</v>
      </c>
      <c r="K90" s="1">
        <f t="shared" si="9"/>
        <v>2</v>
      </c>
      <c r="L90" s="1">
        <f t="shared" si="13"/>
        <v>4</v>
      </c>
      <c r="M90" s="1">
        <v>2</v>
      </c>
      <c r="N90" s="12">
        <v>24.71</v>
      </c>
      <c r="O90" s="12">
        <v>5.85</v>
      </c>
      <c r="P90" s="12">
        <f>'Model output'!$B$17+'Model output'!$B$18*tips_table!$I90+'Model output'!$B$19*tips_table!$J90+'Model output'!$B$20*tips_table!$K90+'Model output'!$B$21*tips_table!$L90+'Model output'!$B$22*tips_table!$M90+'Model output'!$B$23*tips_table!$N90</f>
        <v>3.3662478488086824</v>
      </c>
      <c r="Q90" s="8">
        <f t="shared" si="10"/>
        <v>2.4837521511913172</v>
      </c>
      <c r="R90" s="16">
        <f t="shared" si="11"/>
        <v>6.1690247485474963</v>
      </c>
      <c r="W90" s="1">
        <v>0.75944339705833919</v>
      </c>
      <c r="X90" s="1">
        <f>'Model output'!$B$18*tips_table!$I90</f>
        <v>3.7183538040686311E-2</v>
      </c>
      <c r="Y90" s="1">
        <f>'Model output'!$B$20*tips_table!$K90</f>
        <v>0.17745552547297233</v>
      </c>
      <c r="Z90" s="1">
        <f>'Model output'!$B$19*tips_table!$J90</f>
        <v>-7.3687758526173666E-2</v>
      </c>
      <c r="AA90" s="1">
        <f>'Model output'!$B$21*tips_table!$L90</f>
        <v>-0.2139953712402721</v>
      </c>
      <c r="AB90" s="1">
        <f>'Model output'!$B$22*tips_table!$M90</f>
        <v>0.34786623214719364</v>
      </c>
      <c r="AC90" s="1">
        <f>'Model output'!$B$23*tips_table!$N90</f>
        <v>2.3319822858559371</v>
      </c>
      <c r="AD90" s="12">
        <f t="shared" si="12"/>
        <v>3.3662478488086824</v>
      </c>
    </row>
    <row r="91" spans="1:30" x14ac:dyDescent="0.3">
      <c r="A91" s="1" t="s">
        <v>11</v>
      </c>
      <c r="B91" s="1" t="s">
        <v>8</v>
      </c>
      <c r="C91" s="1" t="s">
        <v>14</v>
      </c>
      <c r="D91" s="1" t="s">
        <v>15</v>
      </c>
      <c r="E91" s="1">
        <v>2</v>
      </c>
      <c r="F91" s="12">
        <v>21.16</v>
      </c>
      <c r="G91" s="12">
        <v>3</v>
      </c>
      <c r="I91" s="1">
        <f t="shared" si="7"/>
        <v>1</v>
      </c>
      <c r="J91" s="1">
        <f t="shared" si="8"/>
        <v>1</v>
      </c>
      <c r="K91" s="1">
        <f t="shared" si="9"/>
        <v>2</v>
      </c>
      <c r="L91" s="1">
        <f t="shared" si="13"/>
        <v>4</v>
      </c>
      <c r="M91" s="1">
        <v>2</v>
      </c>
      <c r="N91" s="12">
        <v>21.16</v>
      </c>
      <c r="O91" s="12">
        <v>3</v>
      </c>
      <c r="P91" s="12">
        <f>'Model output'!$B$17+'Model output'!$B$18*tips_table!$I91+'Model output'!$B$19*tips_table!$J91+'Model output'!$B$20*tips_table!$K91+'Model output'!$B$21*tips_table!$L91+'Model output'!$B$22*tips_table!$M91+'Model output'!$B$23*tips_table!$N91</f>
        <v>3.031220041654147</v>
      </c>
      <c r="Q91" s="8">
        <f t="shared" si="10"/>
        <v>-3.1220041654147046E-2</v>
      </c>
      <c r="R91" s="16">
        <f t="shared" si="11"/>
        <v>9.7469100088667666E-4</v>
      </c>
      <c r="W91" s="1">
        <v>0.75944339705833919</v>
      </c>
      <c r="X91" s="1">
        <f>'Model output'!$B$18*tips_table!$I91</f>
        <v>3.7183538040686311E-2</v>
      </c>
      <c r="Y91" s="1">
        <f>'Model output'!$B$20*tips_table!$K91</f>
        <v>0.17745552547297233</v>
      </c>
      <c r="Z91" s="1">
        <f>'Model output'!$B$19*tips_table!$J91</f>
        <v>-7.3687758526173666E-2</v>
      </c>
      <c r="AA91" s="1">
        <f>'Model output'!$B$21*tips_table!$L91</f>
        <v>-0.2139953712402721</v>
      </c>
      <c r="AB91" s="1">
        <f>'Model output'!$B$22*tips_table!$M91</f>
        <v>0.34786623214719364</v>
      </c>
      <c r="AC91" s="1">
        <f>'Model output'!$B$23*tips_table!$N91</f>
        <v>1.9969544787014015</v>
      </c>
      <c r="AD91" s="12">
        <f t="shared" si="12"/>
        <v>3.031220041654147</v>
      </c>
    </row>
    <row r="92" spans="1:30" x14ac:dyDescent="0.3">
      <c r="A92" s="1" t="s">
        <v>11</v>
      </c>
      <c r="B92" s="1" t="s">
        <v>13</v>
      </c>
      <c r="C92" s="1" t="s">
        <v>16</v>
      </c>
      <c r="D92" s="1" t="s">
        <v>10</v>
      </c>
      <c r="E92" s="1">
        <v>2</v>
      </c>
      <c r="F92" s="12">
        <v>28.97</v>
      </c>
      <c r="G92" s="12">
        <v>3</v>
      </c>
      <c r="I92" s="1">
        <f t="shared" si="7"/>
        <v>1</v>
      </c>
      <c r="J92" s="1">
        <f t="shared" si="8"/>
        <v>2</v>
      </c>
      <c r="K92" s="1">
        <f t="shared" si="9"/>
        <v>1</v>
      </c>
      <c r="L92" s="1">
        <f t="shared" si="13"/>
        <v>2</v>
      </c>
      <c r="M92" s="1">
        <v>2</v>
      </c>
      <c r="N92" s="12">
        <v>28.97</v>
      </c>
      <c r="O92" s="12">
        <v>3</v>
      </c>
      <c r="P92" s="12">
        <f>'Model output'!$B$17+'Model output'!$B$18*tips_table!$I92+'Model output'!$B$19*tips_table!$J92+'Model output'!$B$20*tips_table!$K92+'Model output'!$B$21*tips_table!$L92+'Model output'!$B$22*tips_table!$M92+'Model output'!$B$23*tips_table!$N92</f>
        <v>3.7128633817516015</v>
      </c>
      <c r="Q92" s="8">
        <f t="shared" si="10"/>
        <v>-0.71286338175160147</v>
      </c>
      <c r="R92" s="16">
        <f t="shared" si="11"/>
        <v>0.50817420104232947</v>
      </c>
      <c r="W92" s="1">
        <v>0.75944339705833919</v>
      </c>
      <c r="X92" s="1">
        <f>'Model output'!$B$18*tips_table!$I92</f>
        <v>3.7183538040686311E-2</v>
      </c>
      <c r="Y92" s="1">
        <f>'Model output'!$B$20*tips_table!$K92</f>
        <v>8.8727762736486165E-2</v>
      </c>
      <c r="Z92" s="1">
        <f>'Model output'!$B$19*tips_table!$J92</f>
        <v>-0.14737551705234733</v>
      </c>
      <c r="AA92" s="1">
        <f>'Model output'!$B$21*tips_table!$L92</f>
        <v>-0.10699768562013605</v>
      </c>
      <c r="AB92" s="1">
        <f>'Model output'!$B$22*tips_table!$M92</f>
        <v>0.34786623214719364</v>
      </c>
      <c r="AC92" s="1">
        <f>'Model output'!$B$23*tips_table!$N92</f>
        <v>2.7340156544413796</v>
      </c>
      <c r="AD92" s="12">
        <f t="shared" si="12"/>
        <v>3.7128633817516015</v>
      </c>
    </row>
    <row r="93" spans="1:30" x14ac:dyDescent="0.3">
      <c r="A93" s="1" t="s">
        <v>11</v>
      </c>
      <c r="B93" s="1" t="s">
        <v>8</v>
      </c>
      <c r="C93" s="1" t="s">
        <v>16</v>
      </c>
      <c r="D93" s="1" t="s">
        <v>10</v>
      </c>
      <c r="E93" s="1">
        <v>2</v>
      </c>
      <c r="F93" s="12">
        <v>22.49</v>
      </c>
      <c r="G93" s="12">
        <v>3.5</v>
      </c>
      <c r="I93" s="1">
        <f t="shared" si="7"/>
        <v>1</v>
      </c>
      <c r="J93" s="1">
        <f t="shared" si="8"/>
        <v>1</v>
      </c>
      <c r="K93" s="1">
        <f t="shared" si="9"/>
        <v>1</v>
      </c>
      <c r="L93" s="1">
        <f t="shared" si="13"/>
        <v>2</v>
      </c>
      <c r="M93" s="1">
        <v>2</v>
      </c>
      <c r="N93" s="12">
        <v>22.49</v>
      </c>
      <c r="O93" s="12">
        <v>3.5</v>
      </c>
      <c r="P93" s="12">
        <f>'Model output'!$B$17+'Model output'!$B$18*tips_table!$I93+'Model output'!$B$19*tips_table!$J93+'Model output'!$B$20*tips_table!$K93+'Model output'!$B$21*tips_table!$L93+'Model output'!$B$22*tips_table!$M93+'Model output'!$B$23*tips_table!$N93</f>
        <v>3.1750074246830176</v>
      </c>
      <c r="Q93" s="8">
        <f t="shared" si="10"/>
        <v>0.32499257531698245</v>
      </c>
      <c r="R93" s="16">
        <f t="shared" si="11"/>
        <v>0.10562017401116451</v>
      </c>
      <c r="W93" s="1">
        <v>0.75944339705833919</v>
      </c>
      <c r="X93" s="1">
        <f>'Model output'!$B$18*tips_table!$I93</f>
        <v>3.7183538040686311E-2</v>
      </c>
      <c r="Y93" s="1">
        <f>'Model output'!$B$20*tips_table!$K93</f>
        <v>8.8727762736486165E-2</v>
      </c>
      <c r="Z93" s="1">
        <f>'Model output'!$B$19*tips_table!$J93</f>
        <v>-7.3687758526173666E-2</v>
      </c>
      <c r="AA93" s="1">
        <f>'Model output'!$B$21*tips_table!$L93</f>
        <v>-0.10699768562013605</v>
      </c>
      <c r="AB93" s="1">
        <f>'Model output'!$B$22*tips_table!$M93</f>
        <v>0.34786623214719364</v>
      </c>
      <c r="AC93" s="1">
        <f>'Model output'!$B$23*tips_table!$N93</f>
        <v>2.1224719388466218</v>
      </c>
      <c r="AD93" s="12">
        <f t="shared" si="12"/>
        <v>3.1750074246830176</v>
      </c>
    </row>
    <row r="94" spans="1:30" x14ac:dyDescent="0.3">
      <c r="A94" s="1" t="s">
        <v>7</v>
      </c>
      <c r="B94" s="1" t="s">
        <v>13</v>
      </c>
      <c r="C94" s="1" t="s">
        <v>16</v>
      </c>
      <c r="D94" s="1" t="s">
        <v>10</v>
      </c>
      <c r="E94" s="1">
        <v>2</v>
      </c>
      <c r="F94" s="12">
        <v>5.75</v>
      </c>
      <c r="G94" s="12">
        <v>1</v>
      </c>
      <c r="I94" s="1">
        <f t="shared" si="7"/>
        <v>2</v>
      </c>
      <c r="J94" s="1">
        <f t="shared" si="8"/>
        <v>2</v>
      </c>
      <c r="K94" s="1">
        <f t="shared" si="9"/>
        <v>1</v>
      </c>
      <c r="L94" s="1">
        <f t="shared" si="13"/>
        <v>2</v>
      </c>
      <c r="M94" s="1">
        <v>2</v>
      </c>
      <c r="N94" s="12">
        <v>5.75</v>
      </c>
      <c r="O94" s="12">
        <v>1</v>
      </c>
      <c r="P94" s="12">
        <f>'Model output'!$B$17+'Model output'!$B$18*tips_table!$I94+'Model output'!$B$19*tips_table!$J94+'Model output'!$B$20*tips_table!$K94+'Model output'!$B$21*tips_table!$L94+'Model output'!$B$22*tips_table!$M94+'Model output'!$B$23*tips_table!$N94</f>
        <v>1.5586819389110715</v>
      </c>
      <c r="Q94" s="8">
        <f t="shared" si="10"/>
        <v>-0.55868193891107154</v>
      </c>
      <c r="R94" s="16">
        <f t="shared" si="11"/>
        <v>0.31212550886543428</v>
      </c>
      <c r="W94" s="1">
        <v>0.75944339705833919</v>
      </c>
      <c r="X94" s="1">
        <f>'Model output'!$B$18*tips_table!$I94</f>
        <v>7.4367076081372621E-2</v>
      </c>
      <c r="Y94" s="1">
        <f>'Model output'!$B$20*tips_table!$K94</f>
        <v>8.8727762736486165E-2</v>
      </c>
      <c r="Z94" s="1">
        <f>'Model output'!$B$19*tips_table!$J94</f>
        <v>-0.14737551705234733</v>
      </c>
      <c r="AA94" s="1">
        <f>'Model output'!$B$21*tips_table!$L94</f>
        <v>-0.10699768562013605</v>
      </c>
      <c r="AB94" s="1">
        <f>'Model output'!$B$22*tips_table!$M94</f>
        <v>0.34786623214719364</v>
      </c>
      <c r="AC94" s="1">
        <f>'Model output'!$B$23*tips_table!$N94</f>
        <v>0.54265067356016339</v>
      </c>
      <c r="AD94" s="12">
        <f t="shared" si="12"/>
        <v>1.5586819389110715</v>
      </c>
    </row>
    <row r="95" spans="1:30" x14ac:dyDescent="0.3">
      <c r="A95" s="1" t="s">
        <v>7</v>
      </c>
      <c r="B95" s="1" t="s">
        <v>13</v>
      </c>
      <c r="C95" s="1" t="s">
        <v>16</v>
      </c>
      <c r="D95" s="1" t="s">
        <v>10</v>
      </c>
      <c r="E95" s="1">
        <v>2</v>
      </c>
      <c r="F95" s="12">
        <v>16.32</v>
      </c>
      <c r="G95" s="12">
        <v>4.3</v>
      </c>
      <c r="I95" s="1">
        <f t="shared" si="7"/>
        <v>2</v>
      </c>
      <c r="J95" s="1">
        <f t="shared" si="8"/>
        <v>2</v>
      </c>
      <c r="K95" s="1">
        <f t="shared" si="9"/>
        <v>1</v>
      </c>
      <c r="L95" s="1">
        <f t="shared" si="13"/>
        <v>2</v>
      </c>
      <c r="M95" s="1">
        <v>2</v>
      </c>
      <c r="N95" s="12">
        <v>16.32</v>
      </c>
      <c r="O95" s="12">
        <v>4.3</v>
      </c>
      <c r="P95" s="12">
        <f>'Model output'!$B$17+'Model output'!$B$18*tips_table!$I95+'Model output'!$B$19*tips_table!$J95+'Model output'!$B$20*tips_table!$K95+'Model output'!$B$21*tips_table!$L95+'Model output'!$B$22*tips_table!$M95+'Model output'!$B$23*tips_table!$N95</f>
        <v>2.5562154379599287</v>
      </c>
      <c r="Q95" s="8">
        <f t="shared" si="10"/>
        <v>1.7437845620400712</v>
      </c>
      <c r="R95" s="16">
        <f t="shared" si="11"/>
        <v>3.0407845988092825</v>
      </c>
      <c r="W95" s="1">
        <v>0.75944339705833919</v>
      </c>
      <c r="X95" s="1">
        <f>'Model output'!$B$18*tips_table!$I95</f>
        <v>7.4367076081372621E-2</v>
      </c>
      <c r="Y95" s="1">
        <f>'Model output'!$B$20*tips_table!$K95</f>
        <v>8.8727762736486165E-2</v>
      </c>
      <c r="Z95" s="1">
        <f>'Model output'!$B$19*tips_table!$J95</f>
        <v>-0.14737551705234733</v>
      </c>
      <c r="AA95" s="1">
        <f>'Model output'!$B$21*tips_table!$L95</f>
        <v>-0.10699768562013605</v>
      </c>
      <c r="AB95" s="1">
        <f>'Model output'!$B$22*tips_table!$M95</f>
        <v>0.34786623214719364</v>
      </c>
      <c r="AC95" s="1">
        <f>'Model output'!$B$23*tips_table!$N95</f>
        <v>1.5401841726090204</v>
      </c>
      <c r="AD95" s="12">
        <f t="shared" si="12"/>
        <v>2.5562154379599287</v>
      </c>
    </row>
    <row r="96" spans="1:30" x14ac:dyDescent="0.3">
      <c r="A96" s="1" t="s">
        <v>7</v>
      </c>
      <c r="B96" s="1" t="s">
        <v>8</v>
      </c>
      <c r="C96" s="1" t="s">
        <v>16</v>
      </c>
      <c r="D96" s="1" t="s">
        <v>10</v>
      </c>
      <c r="E96" s="1">
        <v>2</v>
      </c>
      <c r="F96" s="12">
        <v>22.75</v>
      </c>
      <c r="G96" s="12">
        <v>3.25</v>
      </c>
      <c r="I96" s="1">
        <f t="shared" si="7"/>
        <v>2</v>
      </c>
      <c r="J96" s="1">
        <f t="shared" si="8"/>
        <v>1</v>
      </c>
      <c r="K96" s="1">
        <f t="shared" si="9"/>
        <v>1</v>
      </c>
      <c r="L96" s="1">
        <f t="shared" si="13"/>
        <v>2</v>
      </c>
      <c r="M96" s="1">
        <v>2</v>
      </c>
      <c r="N96" s="12">
        <v>22.75</v>
      </c>
      <c r="O96" s="12">
        <v>3.25</v>
      </c>
      <c r="P96" s="12">
        <f>'Model output'!$B$17+'Model output'!$B$18*tips_table!$I96+'Model output'!$B$19*tips_table!$J96+'Model output'!$B$20*tips_table!$K96+'Model output'!$B$21*tips_table!$L96+'Model output'!$B$22*tips_table!$M96+'Model output'!$B$23*tips_table!$N96</f>
        <v>3.2367282105716413</v>
      </c>
      <c r="Q96" s="8">
        <f t="shared" si="10"/>
        <v>1.3271789428358716E-2</v>
      </c>
      <c r="R96" s="16">
        <f t="shared" si="11"/>
        <v>1.7614039463069418E-4</v>
      </c>
      <c r="W96" s="1">
        <v>0.75944339705833919</v>
      </c>
      <c r="X96" s="1">
        <f>'Model output'!$B$18*tips_table!$I96</f>
        <v>7.4367076081372621E-2</v>
      </c>
      <c r="Y96" s="1">
        <f>'Model output'!$B$20*tips_table!$K96</f>
        <v>8.8727762736486165E-2</v>
      </c>
      <c r="Z96" s="1">
        <f>'Model output'!$B$19*tips_table!$J96</f>
        <v>-7.3687758526173666E-2</v>
      </c>
      <c r="AA96" s="1">
        <f>'Model output'!$B$21*tips_table!$L96</f>
        <v>-0.10699768562013605</v>
      </c>
      <c r="AB96" s="1">
        <f>'Model output'!$B$22*tips_table!$M96</f>
        <v>0.34786623214719364</v>
      </c>
      <c r="AC96" s="1">
        <f>'Model output'!$B$23*tips_table!$N96</f>
        <v>2.1470091866945595</v>
      </c>
      <c r="AD96" s="12">
        <f t="shared" si="12"/>
        <v>3.2367282105716413</v>
      </c>
    </row>
    <row r="97" spans="1:30" x14ac:dyDescent="0.3">
      <c r="A97" s="1" t="s">
        <v>11</v>
      </c>
      <c r="B97" s="1" t="s">
        <v>13</v>
      </c>
      <c r="C97" s="1" t="s">
        <v>16</v>
      </c>
      <c r="D97" s="1" t="s">
        <v>10</v>
      </c>
      <c r="E97" s="1">
        <v>4</v>
      </c>
      <c r="F97" s="12">
        <v>40.17</v>
      </c>
      <c r="G97" s="12">
        <v>4.7300000000000004</v>
      </c>
      <c r="I97" s="1">
        <f t="shared" si="7"/>
        <v>1</v>
      </c>
      <c r="J97" s="1">
        <f t="shared" si="8"/>
        <v>2</v>
      </c>
      <c r="K97" s="1">
        <f t="shared" si="9"/>
        <v>1</v>
      </c>
      <c r="L97" s="1">
        <f t="shared" si="13"/>
        <v>2</v>
      </c>
      <c r="M97" s="1">
        <v>4</v>
      </c>
      <c r="N97" s="12">
        <v>40.17</v>
      </c>
      <c r="O97" s="12">
        <v>4.7300000000000004</v>
      </c>
      <c r="P97" s="12">
        <f>'Model output'!$B$17+'Model output'!$B$18*tips_table!$I97+'Model output'!$B$19*tips_table!$J97+'Model output'!$B$20*tips_table!$K97+'Model output'!$B$21*tips_table!$L97+'Model output'!$B$22*tips_table!$M97+'Model output'!$B$23*tips_table!$N97</f>
        <v>5.1177187519638094</v>
      </c>
      <c r="Q97" s="8">
        <f t="shared" si="10"/>
        <v>-0.38771875196380901</v>
      </c>
      <c r="R97" s="16">
        <f t="shared" si="11"/>
        <v>0.15032583062437366</v>
      </c>
      <c r="W97" s="1">
        <v>0.75944339705833919</v>
      </c>
      <c r="X97" s="1">
        <f>'Model output'!$B$18*tips_table!$I97</f>
        <v>3.7183538040686311E-2</v>
      </c>
      <c r="Y97" s="1">
        <f>'Model output'!$B$20*tips_table!$K97</f>
        <v>8.8727762736486165E-2</v>
      </c>
      <c r="Z97" s="1">
        <f>'Model output'!$B$19*tips_table!$J97</f>
        <v>-0.14737551705234733</v>
      </c>
      <c r="AA97" s="1">
        <f>'Model output'!$B$21*tips_table!$L97</f>
        <v>-0.10699768562013605</v>
      </c>
      <c r="AB97" s="1">
        <f>'Model output'!$B$22*tips_table!$M97</f>
        <v>0.69573246429438729</v>
      </c>
      <c r="AC97" s="1">
        <f>'Model output'!$B$23*tips_table!$N97</f>
        <v>3.7910047925063939</v>
      </c>
      <c r="AD97" s="12">
        <f t="shared" si="12"/>
        <v>5.1177187519638094</v>
      </c>
    </row>
    <row r="98" spans="1:30" x14ac:dyDescent="0.3">
      <c r="A98" s="1" t="s">
        <v>11</v>
      </c>
      <c r="B98" s="1" t="s">
        <v>13</v>
      </c>
      <c r="C98" s="1" t="s">
        <v>16</v>
      </c>
      <c r="D98" s="1" t="s">
        <v>10</v>
      </c>
      <c r="E98" s="1">
        <v>2</v>
      </c>
      <c r="F98" s="12">
        <v>27.28</v>
      </c>
      <c r="G98" s="12">
        <v>4</v>
      </c>
      <c r="I98" s="1">
        <f t="shared" si="7"/>
        <v>1</v>
      </c>
      <c r="J98" s="1">
        <f t="shared" si="8"/>
        <v>2</v>
      </c>
      <c r="K98" s="1">
        <f t="shared" si="9"/>
        <v>1</v>
      </c>
      <c r="L98" s="1">
        <f t="shared" si="13"/>
        <v>2</v>
      </c>
      <c r="M98" s="1">
        <v>2</v>
      </c>
      <c r="N98" s="12">
        <v>27.28</v>
      </c>
      <c r="O98" s="12">
        <v>4</v>
      </c>
      <c r="P98" s="12">
        <f>'Model output'!$B$17+'Model output'!$B$18*tips_table!$I98+'Model output'!$B$19*tips_table!$J98+'Model output'!$B$20*tips_table!$K98+'Model output'!$B$21*tips_table!$L98+'Model output'!$B$22*tips_table!$M98+'Model output'!$B$23*tips_table!$N98</f>
        <v>3.5533712707400058</v>
      </c>
      <c r="Q98" s="8">
        <f t="shared" si="10"/>
        <v>0.44662872925999419</v>
      </c>
      <c r="R98" s="16">
        <f t="shared" si="11"/>
        <v>0.1994772218003972</v>
      </c>
      <c r="W98" s="1">
        <v>0.75944339705833919</v>
      </c>
      <c r="X98" s="1">
        <f>'Model output'!$B$18*tips_table!$I98</f>
        <v>3.7183538040686311E-2</v>
      </c>
      <c r="Y98" s="1">
        <f>'Model output'!$B$20*tips_table!$K98</f>
        <v>8.8727762736486165E-2</v>
      </c>
      <c r="Z98" s="1">
        <f>'Model output'!$B$19*tips_table!$J98</f>
        <v>-0.14737551705234733</v>
      </c>
      <c r="AA98" s="1">
        <f>'Model output'!$B$21*tips_table!$L98</f>
        <v>-0.10699768562013605</v>
      </c>
      <c r="AB98" s="1">
        <f>'Model output'!$B$22*tips_table!$M98</f>
        <v>0.34786623214719364</v>
      </c>
      <c r="AC98" s="1">
        <f>'Model output'!$B$23*tips_table!$N98</f>
        <v>2.574523543429784</v>
      </c>
      <c r="AD98" s="12">
        <f t="shared" si="12"/>
        <v>3.5533712707400058</v>
      </c>
    </row>
    <row r="99" spans="1:30" x14ac:dyDescent="0.3">
      <c r="A99" s="1" t="s">
        <v>11</v>
      </c>
      <c r="B99" s="1" t="s">
        <v>13</v>
      </c>
      <c r="C99" s="1" t="s">
        <v>16</v>
      </c>
      <c r="D99" s="1" t="s">
        <v>10</v>
      </c>
      <c r="E99" s="1">
        <v>2</v>
      </c>
      <c r="F99" s="12">
        <v>12.03</v>
      </c>
      <c r="G99" s="12">
        <v>1.5</v>
      </c>
      <c r="I99" s="1">
        <f t="shared" si="7"/>
        <v>1</v>
      </c>
      <c r="J99" s="1">
        <f t="shared" si="8"/>
        <v>2</v>
      </c>
      <c r="K99" s="1">
        <f t="shared" si="9"/>
        <v>1</v>
      </c>
      <c r="L99" s="1">
        <f t="shared" si="13"/>
        <v>2</v>
      </c>
      <c r="M99" s="1">
        <v>2</v>
      </c>
      <c r="N99" s="12">
        <v>12.03</v>
      </c>
      <c r="O99" s="12">
        <v>1.5</v>
      </c>
      <c r="P99" s="12">
        <f>'Model output'!$B$17+'Model output'!$B$18*tips_table!$I99+'Model output'!$B$19*tips_table!$J99+'Model output'!$B$20*tips_table!$K99+'Model output'!$B$21*tips_table!$L99+'Model output'!$B$22*tips_table!$M99+'Model output'!$B$23*tips_table!$N99</f>
        <v>2.1141673104282681</v>
      </c>
      <c r="Q99" s="8">
        <f t="shared" si="10"/>
        <v>-0.61416731042826811</v>
      </c>
      <c r="R99" s="16">
        <f t="shared" si="11"/>
        <v>0.37720148519869262</v>
      </c>
      <c r="W99" s="1">
        <v>0.75944339705833919</v>
      </c>
      <c r="X99" s="1">
        <f>'Model output'!$B$18*tips_table!$I99</f>
        <v>3.7183538040686311E-2</v>
      </c>
      <c r="Y99" s="1">
        <f>'Model output'!$B$20*tips_table!$K99</f>
        <v>8.8727762736486165E-2</v>
      </c>
      <c r="Z99" s="1">
        <f>'Model output'!$B$19*tips_table!$J99</f>
        <v>-0.14737551705234733</v>
      </c>
      <c r="AA99" s="1">
        <f>'Model output'!$B$21*tips_table!$L99</f>
        <v>-0.10699768562013605</v>
      </c>
      <c r="AB99" s="1">
        <f>'Model output'!$B$22*tips_table!$M99</f>
        <v>0.34786623214719364</v>
      </c>
      <c r="AC99" s="1">
        <f>'Model output'!$B$23*tips_table!$N99</f>
        <v>1.1353195831180463</v>
      </c>
      <c r="AD99" s="12">
        <f t="shared" si="12"/>
        <v>2.1141673104282681</v>
      </c>
    </row>
    <row r="100" spans="1:30" x14ac:dyDescent="0.3">
      <c r="A100" s="1" t="s">
        <v>11</v>
      </c>
      <c r="B100" s="1" t="s">
        <v>13</v>
      </c>
      <c r="C100" s="1" t="s">
        <v>16</v>
      </c>
      <c r="D100" s="1" t="s">
        <v>10</v>
      </c>
      <c r="E100" s="1">
        <v>2</v>
      </c>
      <c r="F100" s="12">
        <v>21.01</v>
      </c>
      <c r="G100" s="12">
        <v>3</v>
      </c>
      <c r="I100" s="1">
        <f t="shared" si="7"/>
        <v>1</v>
      </c>
      <c r="J100" s="1">
        <f t="shared" si="8"/>
        <v>2</v>
      </c>
      <c r="K100" s="1">
        <f t="shared" si="9"/>
        <v>1</v>
      </c>
      <c r="L100" s="1">
        <f t="shared" si="13"/>
        <v>2</v>
      </c>
      <c r="M100" s="1">
        <v>2</v>
      </c>
      <c r="N100" s="12">
        <v>21.01</v>
      </c>
      <c r="O100" s="12">
        <v>3</v>
      </c>
      <c r="P100" s="12">
        <f>'Model output'!$B$17+'Model output'!$B$18*tips_table!$I100+'Model output'!$B$19*tips_table!$J100+'Model output'!$B$20*tips_table!$K100+'Model output'!$B$21*tips_table!$L100+'Model output'!$B$22*tips_table!$M100+'Model output'!$B$23*tips_table!$N100</f>
        <v>2.961646101483967</v>
      </c>
      <c r="Q100" s="8">
        <f t="shared" si="10"/>
        <v>3.8353898516032991E-2</v>
      </c>
      <c r="R100" s="16">
        <f t="shared" si="11"/>
        <v>1.4710215313781577E-3</v>
      </c>
      <c r="W100" s="1">
        <v>0.75944339705833919</v>
      </c>
      <c r="X100" s="1">
        <f>'Model output'!$B$18*tips_table!$I100</f>
        <v>3.7183538040686311E-2</v>
      </c>
      <c r="Y100" s="1">
        <f>'Model output'!$B$20*tips_table!$K100</f>
        <v>8.8727762736486165E-2</v>
      </c>
      <c r="Z100" s="1">
        <f>'Model output'!$B$19*tips_table!$J100</f>
        <v>-0.14737551705234733</v>
      </c>
      <c r="AA100" s="1">
        <f>'Model output'!$B$21*tips_table!$L100</f>
        <v>-0.10699768562013605</v>
      </c>
      <c r="AB100" s="1">
        <f>'Model output'!$B$22*tips_table!$M100</f>
        <v>0.34786623214719364</v>
      </c>
      <c r="AC100" s="1">
        <f>'Model output'!$B$23*tips_table!$N100</f>
        <v>1.9827983741737452</v>
      </c>
      <c r="AD100" s="12">
        <f t="shared" si="12"/>
        <v>2.961646101483967</v>
      </c>
    </row>
    <row r="101" spans="1:30" x14ac:dyDescent="0.3">
      <c r="A101" s="1" t="s">
        <v>11</v>
      </c>
      <c r="B101" s="1" t="s">
        <v>8</v>
      </c>
      <c r="C101" s="1" t="s">
        <v>16</v>
      </c>
      <c r="D101" s="1" t="s">
        <v>10</v>
      </c>
      <c r="E101" s="1">
        <v>2</v>
      </c>
      <c r="F101" s="12">
        <v>12.46</v>
      </c>
      <c r="G101" s="12">
        <v>1.5</v>
      </c>
      <c r="I101" s="1">
        <f t="shared" si="7"/>
        <v>1</v>
      </c>
      <c r="J101" s="1">
        <f t="shared" si="8"/>
        <v>1</v>
      </c>
      <c r="K101" s="1">
        <f t="shared" si="9"/>
        <v>1</v>
      </c>
      <c r="L101" s="1">
        <f t="shared" si="13"/>
        <v>2</v>
      </c>
      <c r="M101" s="1">
        <v>2</v>
      </c>
      <c r="N101" s="12">
        <v>12.46</v>
      </c>
      <c r="O101" s="12">
        <v>1.5</v>
      </c>
      <c r="P101" s="12">
        <f>'Model output'!$B$17+'Model output'!$B$18*tips_table!$I101+'Model output'!$B$19*tips_table!$J101+'Model output'!$B$20*tips_table!$K101+'Model output'!$B$21*tips_table!$L101+'Model output'!$B$22*tips_table!$M101+'Model output'!$B$23*tips_table!$N101</f>
        <v>2.2284359019337234</v>
      </c>
      <c r="Q101" s="8">
        <f t="shared" si="10"/>
        <v>-0.72843590193372343</v>
      </c>
      <c r="R101" s="16">
        <f t="shared" si="11"/>
        <v>0.53061886322599716</v>
      </c>
      <c r="W101" s="1">
        <v>0.75944339705833919</v>
      </c>
      <c r="X101" s="1">
        <f>'Model output'!$B$18*tips_table!$I101</f>
        <v>3.7183538040686311E-2</v>
      </c>
      <c r="Y101" s="1">
        <f>'Model output'!$B$20*tips_table!$K101</f>
        <v>8.8727762736486165E-2</v>
      </c>
      <c r="Z101" s="1">
        <f>'Model output'!$B$19*tips_table!$J101</f>
        <v>-7.3687758526173666E-2</v>
      </c>
      <c r="AA101" s="1">
        <f>'Model output'!$B$21*tips_table!$L101</f>
        <v>-0.10699768562013605</v>
      </c>
      <c r="AB101" s="1">
        <f>'Model output'!$B$22*tips_table!$M101</f>
        <v>0.34786623214719364</v>
      </c>
      <c r="AC101" s="1">
        <f>'Model output'!$B$23*tips_table!$N101</f>
        <v>1.1759004160973281</v>
      </c>
      <c r="AD101" s="12">
        <f t="shared" si="12"/>
        <v>2.2284359019337234</v>
      </c>
    </row>
    <row r="102" spans="1:30" x14ac:dyDescent="0.3">
      <c r="A102" s="1" t="s">
        <v>7</v>
      </c>
      <c r="B102" s="1" t="s">
        <v>13</v>
      </c>
      <c r="C102" s="1" t="s">
        <v>16</v>
      </c>
      <c r="D102" s="1" t="s">
        <v>10</v>
      </c>
      <c r="E102" s="1">
        <v>2</v>
      </c>
      <c r="F102" s="12">
        <v>11.35</v>
      </c>
      <c r="G102" s="12">
        <v>2.5</v>
      </c>
      <c r="I102" s="1">
        <f t="shared" si="7"/>
        <v>2</v>
      </c>
      <c r="J102" s="1">
        <f t="shared" si="8"/>
        <v>2</v>
      </c>
      <c r="K102" s="1">
        <f t="shared" si="9"/>
        <v>1</v>
      </c>
      <c r="L102" s="1">
        <f t="shared" si="13"/>
        <v>2</v>
      </c>
      <c r="M102" s="1">
        <v>2</v>
      </c>
      <c r="N102" s="12">
        <v>11.35</v>
      </c>
      <c r="O102" s="12">
        <v>2.5</v>
      </c>
      <c r="P102" s="12">
        <f>'Model output'!$B$17+'Model output'!$B$18*tips_table!$I102+'Model output'!$B$19*tips_table!$J102+'Model output'!$B$20*tips_table!$K102+'Model output'!$B$21*tips_table!$L102+'Model output'!$B$22*tips_table!$M102+'Model output'!$B$23*tips_table!$N102</f>
        <v>2.0871765079435787</v>
      </c>
      <c r="Q102" s="8">
        <f t="shared" si="10"/>
        <v>0.41282349205642133</v>
      </c>
      <c r="R102" s="16">
        <f t="shared" si="11"/>
        <v>0.17042323559365816</v>
      </c>
      <c r="W102" s="1">
        <v>0.75944339705833919</v>
      </c>
      <c r="X102" s="1">
        <f>'Model output'!$B$18*tips_table!$I102</f>
        <v>7.4367076081372621E-2</v>
      </c>
      <c r="Y102" s="1">
        <f>'Model output'!$B$20*tips_table!$K102</f>
        <v>8.8727762736486165E-2</v>
      </c>
      <c r="Z102" s="1">
        <f>'Model output'!$B$19*tips_table!$J102</f>
        <v>-0.14737551705234733</v>
      </c>
      <c r="AA102" s="1">
        <f>'Model output'!$B$21*tips_table!$L102</f>
        <v>-0.10699768562013605</v>
      </c>
      <c r="AB102" s="1">
        <f>'Model output'!$B$22*tips_table!$M102</f>
        <v>0.34786623214719364</v>
      </c>
      <c r="AC102" s="1">
        <f>'Model output'!$B$23*tips_table!$N102</f>
        <v>1.0711452425926704</v>
      </c>
      <c r="AD102" s="12">
        <f t="shared" si="12"/>
        <v>2.0871765079435787</v>
      </c>
    </row>
    <row r="103" spans="1:30" x14ac:dyDescent="0.3">
      <c r="A103" s="1" t="s">
        <v>7</v>
      </c>
      <c r="B103" s="1" t="s">
        <v>13</v>
      </c>
      <c r="C103" s="1" t="s">
        <v>16</v>
      </c>
      <c r="D103" s="1" t="s">
        <v>10</v>
      </c>
      <c r="E103" s="1">
        <v>2</v>
      </c>
      <c r="F103" s="12">
        <v>15.38</v>
      </c>
      <c r="G103" s="12">
        <v>3</v>
      </c>
      <c r="I103" s="1">
        <f t="shared" si="7"/>
        <v>2</v>
      </c>
      <c r="J103" s="1">
        <f t="shared" si="8"/>
        <v>2</v>
      </c>
      <c r="K103" s="1">
        <f t="shared" si="9"/>
        <v>1</v>
      </c>
      <c r="L103" s="1">
        <f t="shared" si="13"/>
        <v>2</v>
      </c>
      <c r="M103" s="1">
        <v>2</v>
      </c>
      <c r="N103" s="12">
        <v>15.38</v>
      </c>
      <c r="O103" s="12">
        <v>3</v>
      </c>
      <c r="P103" s="12">
        <f>'Model output'!$B$17+'Model output'!$B$18*tips_table!$I103+'Model output'!$B$19*tips_table!$J103+'Model output'!$B$20*tips_table!$K103+'Model output'!$B$21*tips_table!$L103+'Model output'!$B$22*tips_table!$M103+'Model output'!$B$23*tips_table!$N103</f>
        <v>2.4675038495866151</v>
      </c>
      <c r="Q103" s="8">
        <f t="shared" si="10"/>
        <v>0.53249615041338494</v>
      </c>
      <c r="R103" s="16">
        <f t="shared" si="11"/>
        <v>0.28355215020507429</v>
      </c>
      <c r="W103" s="1">
        <v>0.75944339705833919</v>
      </c>
      <c r="X103" s="1">
        <f>'Model output'!$B$18*tips_table!$I103</f>
        <v>7.4367076081372621E-2</v>
      </c>
      <c r="Y103" s="1">
        <f>'Model output'!$B$20*tips_table!$K103</f>
        <v>8.8727762736486165E-2</v>
      </c>
      <c r="Z103" s="1">
        <f>'Model output'!$B$19*tips_table!$J103</f>
        <v>-0.14737551705234733</v>
      </c>
      <c r="AA103" s="1">
        <f>'Model output'!$B$21*tips_table!$L103</f>
        <v>-0.10699768562013605</v>
      </c>
      <c r="AB103" s="1">
        <f>'Model output'!$B$22*tips_table!$M103</f>
        <v>0.34786623214719364</v>
      </c>
      <c r="AC103" s="1">
        <f>'Model output'!$B$23*tips_table!$N103</f>
        <v>1.4514725842357068</v>
      </c>
      <c r="AD103" s="12">
        <f t="shared" si="12"/>
        <v>2.4675038495866151</v>
      </c>
    </row>
    <row r="104" spans="1:30" x14ac:dyDescent="0.3">
      <c r="A104" s="1" t="s">
        <v>7</v>
      </c>
      <c r="B104" s="1" t="s">
        <v>13</v>
      </c>
      <c r="C104" s="1" t="s">
        <v>12</v>
      </c>
      <c r="D104" s="1" t="s">
        <v>10</v>
      </c>
      <c r="E104" s="1">
        <v>3</v>
      </c>
      <c r="F104" s="12">
        <v>44.3</v>
      </c>
      <c r="G104" s="12">
        <v>2.5</v>
      </c>
      <c r="I104" s="1">
        <f t="shared" si="7"/>
        <v>2</v>
      </c>
      <c r="J104" s="1">
        <f t="shared" si="8"/>
        <v>2</v>
      </c>
      <c r="K104" s="1">
        <f t="shared" si="9"/>
        <v>1</v>
      </c>
      <c r="L104" s="1">
        <f t="shared" si="13"/>
        <v>3</v>
      </c>
      <c r="M104" s="1">
        <v>3</v>
      </c>
      <c r="N104" s="12">
        <v>44.3</v>
      </c>
      <c r="O104" s="12">
        <v>2.5</v>
      </c>
      <c r="P104" s="12">
        <f>'Model output'!$B$17+'Model output'!$B$18*tips_table!$I104+'Model output'!$B$19*tips_table!$J104+'Model output'!$B$20*tips_table!$K104+'Model output'!$B$21*tips_table!$L104+'Model output'!$B$22*tips_table!$M104+'Model output'!$B$23*tips_table!$N104</f>
        <v>5.3172350757823041</v>
      </c>
      <c r="Q104" s="8">
        <f t="shared" si="10"/>
        <v>-2.8172350757823041</v>
      </c>
      <c r="R104" s="16">
        <f t="shared" si="11"/>
        <v>7.9368134722181249</v>
      </c>
      <c r="W104" s="1">
        <v>0.75944339705833919</v>
      </c>
      <c r="X104" s="1">
        <f>'Model output'!$B$18*tips_table!$I104</f>
        <v>7.4367076081372621E-2</v>
      </c>
      <c r="Y104" s="1">
        <f>'Model output'!$B$20*tips_table!$K104</f>
        <v>8.8727762736486165E-2</v>
      </c>
      <c r="Z104" s="1">
        <f>'Model output'!$B$19*tips_table!$J104</f>
        <v>-0.14737551705234733</v>
      </c>
      <c r="AA104" s="1">
        <f>'Model output'!$B$21*tips_table!$L104</f>
        <v>-0.16049652843020407</v>
      </c>
      <c r="AB104" s="1">
        <f>'Model output'!$B$22*tips_table!$M104</f>
        <v>0.52179934822079044</v>
      </c>
      <c r="AC104" s="1">
        <f>'Model output'!$B$23*tips_table!$N104</f>
        <v>4.1807695371678673</v>
      </c>
      <c r="AD104" s="12">
        <f t="shared" si="12"/>
        <v>5.3172350757823041</v>
      </c>
    </row>
    <row r="105" spans="1:30" x14ac:dyDescent="0.3">
      <c r="A105" s="1" t="s">
        <v>7</v>
      </c>
      <c r="B105" s="1" t="s">
        <v>13</v>
      </c>
      <c r="C105" s="1" t="s">
        <v>12</v>
      </c>
      <c r="D105" s="1" t="s">
        <v>10</v>
      </c>
      <c r="E105" s="1">
        <v>2</v>
      </c>
      <c r="F105" s="12">
        <v>22.42</v>
      </c>
      <c r="G105" s="12">
        <v>3.48</v>
      </c>
      <c r="I105" s="1">
        <f t="shared" si="7"/>
        <v>2</v>
      </c>
      <c r="J105" s="1">
        <f t="shared" si="8"/>
        <v>2</v>
      </c>
      <c r="K105" s="1">
        <f t="shared" si="9"/>
        <v>1</v>
      </c>
      <c r="L105" s="1">
        <f t="shared" si="13"/>
        <v>3</v>
      </c>
      <c r="M105" s="1">
        <v>2</v>
      </c>
      <c r="N105" s="12">
        <v>22.42</v>
      </c>
      <c r="O105" s="12">
        <v>3.48</v>
      </c>
      <c r="P105" s="12">
        <f>'Model output'!$B$17+'Model output'!$B$18*tips_table!$I105+'Model output'!$B$19*tips_table!$J105+'Model output'!$B$20*tips_table!$K105+'Model output'!$B$21*tips_table!$L105+'Model output'!$B$22*tips_table!$M105+'Model output'!$B$23*tips_table!$N105</f>
        <v>3.0783981792745561</v>
      </c>
      <c r="Q105" s="8">
        <f t="shared" si="10"/>
        <v>0.40160182072544393</v>
      </c>
      <c r="R105" s="16">
        <f t="shared" si="11"/>
        <v>0.1612840224099916</v>
      </c>
      <c r="W105" s="1">
        <v>0.75944339705833919</v>
      </c>
      <c r="X105" s="1">
        <f>'Model output'!$B$18*tips_table!$I105</f>
        <v>7.4367076081372621E-2</v>
      </c>
      <c r="Y105" s="1">
        <f>'Model output'!$B$20*tips_table!$K105</f>
        <v>8.8727762736486165E-2</v>
      </c>
      <c r="Z105" s="1">
        <f>'Model output'!$B$19*tips_table!$J105</f>
        <v>-0.14737551705234733</v>
      </c>
      <c r="AA105" s="1">
        <f>'Model output'!$B$21*tips_table!$L105</f>
        <v>-0.16049652843020407</v>
      </c>
      <c r="AB105" s="1">
        <f>'Model output'!$B$22*tips_table!$M105</f>
        <v>0.34786623214719364</v>
      </c>
      <c r="AC105" s="1">
        <f>'Model output'!$B$23*tips_table!$N105</f>
        <v>2.1158657567337156</v>
      </c>
      <c r="AD105" s="12">
        <f t="shared" si="12"/>
        <v>3.0783981792745561</v>
      </c>
    </row>
    <row r="106" spans="1:30" x14ac:dyDescent="0.3">
      <c r="A106" s="1" t="s">
        <v>7</v>
      </c>
      <c r="B106" s="1" t="s">
        <v>8</v>
      </c>
      <c r="C106" s="1" t="s">
        <v>12</v>
      </c>
      <c r="D106" s="1" t="s">
        <v>10</v>
      </c>
      <c r="E106" s="1">
        <v>2</v>
      </c>
      <c r="F106" s="12">
        <v>20.92</v>
      </c>
      <c r="G106" s="12">
        <v>4.08</v>
      </c>
      <c r="I106" s="1">
        <f t="shared" si="7"/>
        <v>2</v>
      </c>
      <c r="J106" s="1">
        <f t="shared" si="8"/>
        <v>1</v>
      </c>
      <c r="K106" s="1">
        <f t="shared" si="9"/>
        <v>1</v>
      </c>
      <c r="L106" s="1">
        <f t="shared" si="13"/>
        <v>3</v>
      </c>
      <c r="M106" s="1">
        <v>2</v>
      </c>
      <c r="N106" s="12">
        <v>20.92</v>
      </c>
      <c r="O106" s="12">
        <v>4.08</v>
      </c>
      <c r="P106" s="12">
        <f>'Model output'!$B$17+'Model output'!$B$18*tips_table!$I106+'Model output'!$B$19*tips_table!$J106+'Model output'!$B$20*tips_table!$K106+'Model output'!$B$21*tips_table!$L106+'Model output'!$B$22*tips_table!$M106+'Model output'!$B$23*tips_table!$N106</f>
        <v>3.010524892524165</v>
      </c>
      <c r="Q106" s="8">
        <f t="shared" si="10"/>
        <v>1.0694751074758351</v>
      </c>
      <c r="R106" s="16">
        <f t="shared" si="11"/>
        <v>1.143777005510449</v>
      </c>
      <c r="W106" s="1">
        <v>0.75944339705833919</v>
      </c>
      <c r="X106" s="1">
        <f>'Model output'!$B$18*tips_table!$I106</f>
        <v>7.4367076081372621E-2</v>
      </c>
      <c r="Y106" s="1">
        <f>'Model output'!$B$20*tips_table!$K106</f>
        <v>8.8727762736486165E-2</v>
      </c>
      <c r="Z106" s="1">
        <f>'Model output'!$B$19*tips_table!$J106</f>
        <v>-7.3687758526173666E-2</v>
      </c>
      <c r="AA106" s="1">
        <f>'Model output'!$B$21*tips_table!$L106</f>
        <v>-0.16049652843020407</v>
      </c>
      <c r="AB106" s="1">
        <f>'Model output'!$B$22*tips_table!$M106</f>
        <v>0.34786623214719364</v>
      </c>
      <c r="AC106" s="1">
        <f>'Model output'!$B$23*tips_table!$N106</f>
        <v>1.9743047114571513</v>
      </c>
      <c r="AD106" s="12">
        <f t="shared" si="12"/>
        <v>3.010524892524165</v>
      </c>
    </row>
    <row r="107" spans="1:30" x14ac:dyDescent="0.3">
      <c r="A107" s="1" t="s">
        <v>11</v>
      </c>
      <c r="B107" s="1" t="s">
        <v>13</v>
      </c>
      <c r="C107" s="1" t="s">
        <v>12</v>
      </c>
      <c r="D107" s="1" t="s">
        <v>10</v>
      </c>
      <c r="E107" s="1">
        <v>2</v>
      </c>
      <c r="F107" s="12">
        <v>15.36</v>
      </c>
      <c r="G107" s="12">
        <v>1.64</v>
      </c>
      <c r="I107" s="1">
        <f t="shared" si="7"/>
        <v>1</v>
      </c>
      <c r="J107" s="1">
        <f t="shared" si="8"/>
        <v>2</v>
      </c>
      <c r="K107" s="1">
        <f t="shared" si="9"/>
        <v>1</v>
      </c>
      <c r="L107" s="1">
        <f t="shared" si="13"/>
        <v>3</v>
      </c>
      <c r="M107" s="1">
        <v>2</v>
      </c>
      <c r="N107" s="12">
        <v>15.36</v>
      </c>
      <c r="O107" s="12">
        <v>1.64</v>
      </c>
      <c r="P107" s="12">
        <f>'Model output'!$B$17+'Model output'!$B$18*tips_table!$I107+'Model output'!$B$19*tips_table!$J107+'Model output'!$B$20*tips_table!$K107+'Model output'!$B$21*tips_table!$L107+'Model output'!$B$22*tips_table!$M107+'Model output'!$B$23*tips_table!$N107</f>
        <v>2.3749339881321729</v>
      </c>
      <c r="Q107" s="8">
        <f t="shared" si="10"/>
        <v>-0.73493398813217303</v>
      </c>
      <c r="R107" s="16">
        <f t="shared" si="11"/>
        <v>0.54012796691186105</v>
      </c>
      <c r="W107" s="1">
        <v>0.75944339705833919</v>
      </c>
      <c r="X107" s="1">
        <f>'Model output'!$B$18*tips_table!$I107</f>
        <v>3.7183538040686311E-2</v>
      </c>
      <c r="Y107" s="1">
        <f>'Model output'!$B$20*tips_table!$K107</f>
        <v>8.8727762736486165E-2</v>
      </c>
      <c r="Z107" s="1">
        <f>'Model output'!$B$19*tips_table!$J107</f>
        <v>-0.14737551705234733</v>
      </c>
      <c r="AA107" s="1">
        <f>'Model output'!$B$21*tips_table!$L107</f>
        <v>-0.16049652843020407</v>
      </c>
      <c r="AB107" s="1">
        <f>'Model output'!$B$22*tips_table!$M107</f>
        <v>0.34786623214719364</v>
      </c>
      <c r="AC107" s="1">
        <f>'Model output'!$B$23*tips_table!$N107</f>
        <v>1.4495851036320191</v>
      </c>
      <c r="AD107" s="12">
        <f t="shared" si="12"/>
        <v>2.3749339881321729</v>
      </c>
    </row>
    <row r="108" spans="1:30" x14ac:dyDescent="0.3">
      <c r="A108" s="1" t="s">
        <v>11</v>
      </c>
      <c r="B108" s="1" t="s">
        <v>13</v>
      </c>
      <c r="C108" s="1" t="s">
        <v>12</v>
      </c>
      <c r="D108" s="1" t="s">
        <v>10</v>
      </c>
      <c r="E108" s="1">
        <v>2</v>
      </c>
      <c r="F108" s="12">
        <v>20.49</v>
      </c>
      <c r="G108" s="12">
        <v>4.0599999999999996</v>
      </c>
      <c r="I108" s="1">
        <f t="shared" si="7"/>
        <v>1</v>
      </c>
      <c r="J108" s="1">
        <f t="shared" si="8"/>
        <v>2</v>
      </c>
      <c r="K108" s="1">
        <f t="shared" si="9"/>
        <v>1</v>
      </c>
      <c r="L108" s="1">
        <f t="shared" si="13"/>
        <v>3</v>
      </c>
      <c r="M108" s="1">
        <v>2</v>
      </c>
      <c r="N108" s="12">
        <v>20.49</v>
      </c>
      <c r="O108" s="12">
        <v>4.0599999999999996</v>
      </c>
      <c r="P108" s="12">
        <f>'Model output'!$B$17+'Model output'!$B$18*tips_table!$I108+'Model output'!$B$19*tips_table!$J108+'Model output'!$B$20*tips_table!$K108+'Model output'!$B$21*tips_table!$L108+'Model output'!$B$22*tips_table!$M108+'Model output'!$B$23*tips_table!$N108</f>
        <v>2.8590727629780233</v>
      </c>
      <c r="Q108" s="8">
        <f t="shared" si="10"/>
        <v>1.2009272370219763</v>
      </c>
      <c r="R108" s="16">
        <f t="shared" si="11"/>
        <v>1.4422262286212382</v>
      </c>
      <c r="W108" s="1">
        <v>0.75944339705833919</v>
      </c>
      <c r="X108" s="1">
        <f>'Model output'!$B$18*tips_table!$I108</f>
        <v>3.7183538040686311E-2</v>
      </c>
      <c r="Y108" s="1">
        <f>'Model output'!$B$20*tips_table!$K108</f>
        <v>8.8727762736486165E-2</v>
      </c>
      <c r="Z108" s="1">
        <f>'Model output'!$B$19*tips_table!$J108</f>
        <v>-0.14737551705234733</v>
      </c>
      <c r="AA108" s="1">
        <f>'Model output'!$B$21*tips_table!$L108</f>
        <v>-0.16049652843020407</v>
      </c>
      <c r="AB108" s="1">
        <f>'Model output'!$B$22*tips_table!$M108</f>
        <v>0.34786623214719364</v>
      </c>
      <c r="AC108" s="1">
        <f>'Model output'!$B$23*tips_table!$N108</f>
        <v>1.9337238784778692</v>
      </c>
      <c r="AD108" s="12">
        <f t="shared" si="12"/>
        <v>2.8590727629780233</v>
      </c>
    </row>
    <row r="109" spans="1:30" x14ac:dyDescent="0.3">
      <c r="A109" s="1" t="s">
        <v>11</v>
      </c>
      <c r="B109" s="1" t="s">
        <v>13</v>
      </c>
      <c r="C109" s="1" t="s">
        <v>12</v>
      </c>
      <c r="D109" s="1" t="s">
        <v>10</v>
      </c>
      <c r="E109" s="1">
        <v>2</v>
      </c>
      <c r="F109" s="12">
        <v>25.21</v>
      </c>
      <c r="G109" s="12">
        <v>4.29</v>
      </c>
      <c r="I109" s="1">
        <f t="shared" si="7"/>
        <v>1</v>
      </c>
      <c r="J109" s="1">
        <f t="shared" si="8"/>
        <v>2</v>
      </c>
      <c r="K109" s="1">
        <f t="shared" si="9"/>
        <v>1</v>
      </c>
      <c r="L109" s="1">
        <f t="shared" si="13"/>
        <v>3</v>
      </c>
      <c r="M109" s="1">
        <v>2</v>
      </c>
      <c r="N109" s="12">
        <v>25.21</v>
      </c>
      <c r="O109" s="12">
        <v>4.29</v>
      </c>
      <c r="P109" s="12">
        <f>'Model output'!$B$17+'Model output'!$B$18*tips_table!$I109+'Model output'!$B$19*tips_table!$J109+'Model output'!$B$20*tips_table!$K109+'Model output'!$B$21*tips_table!$L109+'Model output'!$B$22*tips_table!$M109+'Model output'!$B$23*tips_table!$N109</f>
        <v>3.3045181854482792</v>
      </c>
      <c r="Q109" s="8">
        <f t="shared" si="10"/>
        <v>0.98548181455172079</v>
      </c>
      <c r="R109" s="16">
        <f t="shared" si="11"/>
        <v>0.97117440681215217</v>
      </c>
      <c r="W109" s="1">
        <v>0.75944339705833919</v>
      </c>
      <c r="X109" s="1">
        <f>'Model output'!$B$18*tips_table!$I109</f>
        <v>3.7183538040686311E-2</v>
      </c>
      <c r="Y109" s="1">
        <f>'Model output'!$B$20*tips_table!$K109</f>
        <v>8.8727762736486165E-2</v>
      </c>
      <c r="Z109" s="1">
        <f>'Model output'!$B$19*tips_table!$J109</f>
        <v>-0.14737551705234733</v>
      </c>
      <c r="AA109" s="1">
        <f>'Model output'!$B$21*tips_table!$L109</f>
        <v>-0.16049652843020407</v>
      </c>
      <c r="AB109" s="1">
        <f>'Model output'!$B$22*tips_table!$M109</f>
        <v>0.34786623214719364</v>
      </c>
      <c r="AC109" s="1">
        <f>'Model output'!$B$23*tips_table!$N109</f>
        <v>2.3791693009481252</v>
      </c>
      <c r="AD109" s="12">
        <f t="shared" si="12"/>
        <v>3.3045181854482792</v>
      </c>
    </row>
    <row r="110" spans="1:30" x14ac:dyDescent="0.3">
      <c r="A110" s="1" t="s">
        <v>11</v>
      </c>
      <c r="B110" s="1" t="s">
        <v>8</v>
      </c>
      <c r="C110" s="1" t="s">
        <v>12</v>
      </c>
      <c r="D110" s="1" t="s">
        <v>10</v>
      </c>
      <c r="E110" s="1">
        <v>2</v>
      </c>
      <c r="F110" s="12">
        <v>18.239999999999998</v>
      </c>
      <c r="G110" s="12">
        <v>3.76</v>
      </c>
      <c r="I110" s="1">
        <f t="shared" si="7"/>
        <v>1</v>
      </c>
      <c r="J110" s="1">
        <f t="shared" si="8"/>
        <v>1</v>
      </c>
      <c r="K110" s="1">
        <f t="shared" si="9"/>
        <v>1</v>
      </c>
      <c r="L110" s="1">
        <f t="shared" si="13"/>
        <v>3</v>
      </c>
      <c r="M110" s="1">
        <v>2</v>
      </c>
      <c r="N110" s="12">
        <v>18.239999999999998</v>
      </c>
      <c r="O110" s="12">
        <v>3.76</v>
      </c>
      <c r="P110" s="12">
        <f>'Model output'!$B$17+'Model output'!$B$18*tips_table!$I110+'Model output'!$B$19*tips_table!$J110+'Model output'!$B$20*tips_table!$K110+'Model output'!$B$21*tips_table!$L110+'Model output'!$B$22*tips_table!$M110+'Model output'!$B$23*tips_table!$N110</f>
        <v>2.7204189535893502</v>
      </c>
      <c r="Q110" s="8">
        <f t="shared" si="10"/>
        <v>1.0395810464106496</v>
      </c>
      <c r="R110" s="16">
        <f t="shared" si="11"/>
        <v>1.0807287520562612</v>
      </c>
      <c r="W110" s="1">
        <v>0.75944339705833919</v>
      </c>
      <c r="X110" s="1">
        <f>'Model output'!$B$18*tips_table!$I110</f>
        <v>3.7183538040686311E-2</v>
      </c>
      <c r="Y110" s="1">
        <f>'Model output'!$B$20*tips_table!$K110</f>
        <v>8.8727762736486165E-2</v>
      </c>
      <c r="Z110" s="1">
        <f>'Model output'!$B$19*tips_table!$J110</f>
        <v>-7.3687758526173666E-2</v>
      </c>
      <c r="AA110" s="1">
        <f>'Model output'!$B$21*tips_table!$L110</f>
        <v>-0.16049652843020407</v>
      </c>
      <c r="AB110" s="1">
        <f>'Model output'!$B$22*tips_table!$M110</f>
        <v>0.34786623214719364</v>
      </c>
      <c r="AC110" s="1">
        <f>'Model output'!$B$23*tips_table!$N110</f>
        <v>1.7213823105630226</v>
      </c>
      <c r="AD110" s="12">
        <f t="shared" si="12"/>
        <v>2.7204189535893502</v>
      </c>
    </row>
    <row r="111" spans="1:30" x14ac:dyDescent="0.3">
      <c r="A111" s="1" t="s">
        <v>7</v>
      </c>
      <c r="B111" s="1" t="s">
        <v>13</v>
      </c>
      <c r="C111" s="1" t="s">
        <v>12</v>
      </c>
      <c r="D111" s="1" t="s">
        <v>10</v>
      </c>
      <c r="E111" s="1">
        <v>2</v>
      </c>
      <c r="F111" s="12">
        <v>14.31</v>
      </c>
      <c r="G111" s="12">
        <v>4</v>
      </c>
      <c r="I111" s="1">
        <f t="shared" si="7"/>
        <v>2</v>
      </c>
      <c r="J111" s="1">
        <f t="shared" si="8"/>
        <v>2</v>
      </c>
      <c r="K111" s="1">
        <f t="shared" si="9"/>
        <v>1</v>
      </c>
      <c r="L111" s="1">
        <f t="shared" si="13"/>
        <v>3</v>
      </c>
      <c r="M111" s="1">
        <v>2</v>
      </c>
      <c r="N111" s="12">
        <v>14.31</v>
      </c>
      <c r="O111" s="12">
        <v>4</v>
      </c>
      <c r="P111" s="12">
        <f>'Model output'!$B$17+'Model output'!$B$18*tips_table!$I111+'Model output'!$B$19*tips_table!$J111+'Model output'!$B$20*tips_table!$K111+'Model output'!$B$21*tips_table!$L111+'Model output'!$B$22*tips_table!$M111+'Model output'!$B$23*tips_table!$N111</f>
        <v>2.3130247944792641</v>
      </c>
      <c r="Q111" s="8">
        <f t="shared" si="10"/>
        <v>1.6869752055207359</v>
      </c>
      <c r="R111" s="16">
        <f t="shared" si="11"/>
        <v>2.8458853440417289</v>
      </c>
      <c r="W111" s="1">
        <v>0.75944339705833919</v>
      </c>
      <c r="X111" s="1">
        <f>'Model output'!$B$18*tips_table!$I111</f>
        <v>7.4367076081372621E-2</v>
      </c>
      <c r="Y111" s="1">
        <f>'Model output'!$B$20*tips_table!$K111</f>
        <v>8.8727762736486165E-2</v>
      </c>
      <c r="Z111" s="1">
        <f>'Model output'!$B$19*tips_table!$J111</f>
        <v>-0.14737551705234733</v>
      </c>
      <c r="AA111" s="1">
        <f>'Model output'!$B$21*tips_table!$L111</f>
        <v>-0.16049652843020407</v>
      </c>
      <c r="AB111" s="1">
        <f>'Model output'!$B$22*tips_table!$M111</f>
        <v>0.34786623214719364</v>
      </c>
      <c r="AC111" s="1">
        <f>'Model output'!$B$23*tips_table!$N111</f>
        <v>1.3504923719384241</v>
      </c>
      <c r="AD111" s="12">
        <f t="shared" si="12"/>
        <v>2.3130247944792641</v>
      </c>
    </row>
    <row r="112" spans="1:30" x14ac:dyDescent="0.3">
      <c r="A112" s="1" t="s">
        <v>11</v>
      </c>
      <c r="B112" s="1" t="s">
        <v>8</v>
      </c>
      <c r="C112" s="1" t="s">
        <v>12</v>
      </c>
      <c r="D112" s="1" t="s">
        <v>10</v>
      </c>
      <c r="E112" s="1">
        <v>2</v>
      </c>
      <c r="F112" s="12">
        <v>14</v>
      </c>
      <c r="G112" s="12">
        <v>3</v>
      </c>
      <c r="I112" s="1">
        <f t="shared" si="7"/>
        <v>1</v>
      </c>
      <c r="J112" s="1">
        <f t="shared" si="8"/>
        <v>1</v>
      </c>
      <c r="K112" s="1">
        <f t="shared" si="9"/>
        <v>1</v>
      </c>
      <c r="L112" s="1">
        <f t="shared" si="13"/>
        <v>3</v>
      </c>
      <c r="M112" s="1">
        <v>2</v>
      </c>
      <c r="N112" s="12">
        <v>14</v>
      </c>
      <c r="O112" s="12">
        <v>3</v>
      </c>
      <c r="P112" s="12">
        <f>'Model output'!$B$17+'Model output'!$B$18*tips_table!$I112+'Model output'!$B$19*tips_table!$J112+'Model output'!$B$20*tips_table!$K112+'Model output'!$B$21*tips_table!$L112+'Model output'!$B$22*tips_table!$M112+'Model output'!$B$23*tips_table!$N112</f>
        <v>2.3202730656075952</v>
      </c>
      <c r="Q112" s="8">
        <f t="shared" si="10"/>
        <v>0.67972693439240484</v>
      </c>
      <c r="R112" s="16">
        <f t="shared" si="11"/>
        <v>0.4620287053384966</v>
      </c>
      <c r="W112" s="1">
        <v>0.75944339705833919</v>
      </c>
      <c r="X112" s="1">
        <f>'Model output'!$B$18*tips_table!$I112</f>
        <v>3.7183538040686311E-2</v>
      </c>
      <c r="Y112" s="1">
        <f>'Model output'!$B$20*tips_table!$K112</f>
        <v>8.8727762736486165E-2</v>
      </c>
      <c r="Z112" s="1">
        <f>'Model output'!$B$19*tips_table!$J112</f>
        <v>-7.3687758526173666E-2</v>
      </c>
      <c r="AA112" s="1">
        <f>'Model output'!$B$21*tips_table!$L112</f>
        <v>-0.16049652843020407</v>
      </c>
      <c r="AB112" s="1">
        <f>'Model output'!$B$22*tips_table!$M112</f>
        <v>0.34786623214719364</v>
      </c>
      <c r="AC112" s="1">
        <f>'Model output'!$B$23*tips_table!$N112</f>
        <v>1.3212364225812674</v>
      </c>
      <c r="AD112" s="12">
        <f t="shared" si="12"/>
        <v>2.3202730656075952</v>
      </c>
    </row>
    <row r="113" spans="1:30" x14ac:dyDescent="0.3">
      <c r="A113" s="1" t="s">
        <v>7</v>
      </c>
      <c r="B113" s="1" t="s">
        <v>8</v>
      </c>
      <c r="C113" s="1" t="s">
        <v>12</v>
      </c>
      <c r="D113" s="1" t="s">
        <v>10</v>
      </c>
      <c r="E113" s="1">
        <v>1</v>
      </c>
      <c r="F113" s="12">
        <v>7.25</v>
      </c>
      <c r="G113" s="12">
        <v>1</v>
      </c>
      <c r="I113" s="1">
        <f t="shared" si="7"/>
        <v>2</v>
      </c>
      <c r="J113" s="1">
        <f t="shared" si="8"/>
        <v>1</v>
      </c>
      <c r="K113" s="1">
        <f t="shared" si="9"/>
        <v>1</v>
      </c>
      <c r="L113" s="1">
        <f t="shared" si="13"/>
        <v>3</v>
      </c>
      <c r="M113" s="1">
        <v>1</v>
      </c>
      <c r="N113" s="12">
        <v>7.25</v>
      </c>
      <c r="O113" s="12">
        <v>1</v>
      </c>
      <c r="P113" s="12">
        <f>'Model output'!$B$17+'Model output'!$B$18*tips_table!$I113+'Model output'!$B$19*tips_table!$J113+'Model output'!$B$20*tips_table!$K113+'Model output'!$B$21*tips_table!$L113+'Model output'!$B$22*tips_table!$M113+'Model output'!$B$23*tips_table!$N113</f>
        <v>1.5464987838301449</v>
      </c>
      <c r="Q113" s="8">
        <f t="shared" si="10"/>
        <v>-0.54649878383014494</v>
      </c>
      <c r="R113" s="16">
        <f t="shared" si="11"/>
        <v>0.29866092072782752</v>
      </c>
      <c r="W113" s="1">
        <v>0.75944339705833919</v>
      </c>
      <c r="X113" s="1">
        <f>'Model output'!$B$18*tips_table!$I113</f>
        <v>7.4367076081372621E-2</v>
      </c>
      <c r="Y113" s="1">
        <f>'Model output'!$B$20*tips_table!$K113</f>
        <v>8.8727762736486165E-2</v>
      </c>
      <c r="Z113" s="1">
        <f>'Model output'!$B$19*tips_table!$J113</f>
        <v>-7.3687758526173666E-2</v>
      </c>
      <c r="AA113" s="1">
        <f>'Model output'!$B$21*tips_table!$L113</f>
        <v>-0.16049652843020407</v>
      </c>
      <c r="AB113" s="1">
        <f>'Model output'!$B$22*tips_table!$M113</f>
        <v>0.17393311607359682</v>
      </c>
      <c r="AC113" s="1">
        <f>'Model output'!$B$23*tips_table!$N113</f>
        <v>0.68421171883672782</v>
      </c>
      <c r="AD113" s="12">
        <f t="shared" si="12"/>
        <v>1.5464987838301449</v>
      </c>
    </row>
    <row r="114" spans="1:30" x14ac:dyDescent="0.3">
      <c r="A114" s="1" t="s">
        <v>11</v>
      </c>
      <c r="B114" s="1" t="s">
        <v>8</v>
      </c>
      <c r="C114" s="1" t="s">
        <v>9</v>
      </c>
      <c r="D114" s="1" t="s">
        <v>10</v>
      </c>
      <c r="E114" s="1">
        <v>3</v>
      </c>
      <c r="F114" s="12">
        <v>38.07</v>
      </c>
      <c r="G114" s="12">
        <v>4</v>
      </c>
      <c r="I114" s="1">
        <f t="shared" si="7"/>
        <v>1</v>
      </c>
      <c r="J114" s="1">
        <f t="shared" si="8"/>
        <v>1</v>
      </c>
      <c r="K114" s="1">
        <f t="shared" si="9"/>
        <v>1</v>
      </c>
      <c r="L114" s="1">
        <f t="shared" si="13"/>
        <v>1</v>
      </c>
      <c r="M114" s="1">
        <v>3</v>
      </c>
      <c r="N114" s="12">
        <v>38.07</v>
      </c>
      <c r="O114" s="12">
        <v>4</v>
      </c>
      <c r="P114" s="12">
        <f>'Model output'!$B$17+'Model output'!$B$18*tips_table!$I114+'Model output'!$B$19*tips_table!$J114+'Model output'!$B$20*tips_table!$K114+'Model output'!$B$21*tips_table!$L114+'Model output'!$B$22*tips_table!$M114+'Model output'!$B$23*tips_table!$N114</f>
        <v>4.8727867738392643</v>
      </c>
      <c r="Q114" s="8">
        <f t="shared" si="10"/>
        <v>-0.87278677383926428</v>
      </c>
      <c r="R114" s="16">
        <f t="shared" si="11"/>
        <v>0.76175675258875108</v>
      </c>
      <c r="W114" s="1">
        <v>0.75944339705833919</v>
      </c>
      <c r="X114" s="1">
        <f>'Model output'!$B$18*tips_table!$I114</f>
        <v>3.7183538040686311E-2</v>
      </c>
      <c r="Y114" s="1">
        <f>'Model output'!$B$20*tips_table!$K114</f>
        <v>8.8727762736486165E-2</v>
      </c>
      <c r="Z114" s="1">
        <f>'Model output'!$B$19*tips_table!$J114</f>
        <v>-7.3687758526173666E-2</v>
      </c>
      <c r="AA114" s="1">
        <f>'Model output'!$B$21*tips_table!$L114</f>
        <v>-5.3498842810068024E-2</v>
      </c>
      <c r="AB114" s="1">
        <f>'Model output'!$B$22*tips_table!$M114</f>
        <v>0.52179934822079044</v>
      </c>
      <c r="AC114" s="1">
        <f>'Model output'!$B$23*tips_table!$N114</f>
        <v>3.5928193291192039</v>
      </c>
      <c r="AD114" s="12">
        <f t="shared" si="12"/>
        <v>4.8727867738392643</v>
      </c>
    </row>
    <row r="115" spans="1:30" x14ac:dyDescent="0.3">
      <c r="A115" s="1" t="s">
        <v>11</v>
      </c>
      <c r="B115" s="1" t="s">
        <v>8</v>
      </c>
      <c r="C115" s="1" t="s">
        <v>9</v>
      </c>
      <c r="D115" s="1" t="s">
        <v>10</v>
      </c>
      <c r="E115" s="1">
        <v>2</v>
      </c>
      <c r="F115" s="12">
        <v>23.95</v>
      </c>
      <c r="G115" s="12">
        <v>2.5499999999999998</v>
      </c>
      <c r="I115" s="1">
        <f t="shared" si="7"/>
        <v>1</v>
      </c>
      <c r="J115" s="1">
        <f t="shared" si="8"/>
        <v>1</v>
      </c>
      <c r="K115" s="1">
        <f t="shared" si="9"/>
        <v>1</v>
      </c>
      <c r="L115" s="1">
        <f t="shared" si="13"/>
        <v>1</v>
      </c>
      <c r="M115" s="1">
        <v>2</v>
      </c>
      <c r="N115" s="12">
        <v>23.95</v>
      </c>
      <c r="O115" s="12">
        <v>2.5499999999999998</v>
      </c>
      <c r="P115" s="12">
        <f>'Model output'!$B$17+'Model output'!$B$18*tips_table!$I115+'Model output'!$B$19*tips_table!$J115+'Model output'!$B$20*tips_table!$K115+'Model output'!$B$21*tips_table!$L115+'Model output'!$B$22*tips_table!$M115+'Model output'!$B$23*tips_table!$N115</f>
        <v>3.3662923515622745</v>
      </c>
      <c r="Q115" s="8">
        <f t="shared" si="10"/>
        <v>-0.81629235156227464</v>
      </c>
      <c r="R115" s="16">
        <f t="shared" si="11"/>
        <v>0.66633320321906819</v>
      </c>
      <c r="W115" s="1">
        <v>0.75944339705833919</v>
      </c>
      <c r="X115" s="1">
        <f>'Model output'!$B$18*tips_table!$I115</f>
        <v>3.7183538040686311E-2</v>
      </c>
      <c r="Y115" s="1">
        <f>'Model output'!$B$20*tips_table!$K115</f>
        <v>8.8727762736486165E-2</v>
      </c>
      <c r="Z115" s="1">
        <f>'Model output'!$B$19*tips_table!$J115</f>
        <v>-7.3687758526173666E-2</v>
      </c>
      <c r="AA115" s="1">
        <f>'Model output'!$B$21*tips_table!$L115</f>
        <v>-5.3498842810068024E-2</v>
      </c>
      <c r="AB115" s="1">
        <f>'Model output'!$B$22*tips_table!$M115</f>
        <v>0.34786623214719364</v>
      </c>
      <c r="AC115" s="1">
        <f>'Model output'!$B$23*tips_table!$N115</f>
        <v>2.2602580229158109</v>
      </c>
      <c r="AD115" s="12">
        <f t="shared" si="12"/>
        <v>3.3662923515622745</v>
      </c>
    </row>
    <row r="116" spans="1:30" x14ac:dyDescent="0.3">
      <c r="A116" s="1" t="s">
        <v>7</v>
      </c>
      <c r="B116" s="1" t="s">
        <v>8</v>
      </c>
      <c r="C116" s="1" t="s">
        <v>9</v>
      </c>
      <c r="D116" s="1" t="s">
        <v>10</v>
      </c>
      <c r="E116" s="1">
        <v>3</v>
      </c>
      <c r="F116" s="12">
        <v>25.71</v>
      </c>
      <c r="G116" s="12">
        <v>4</v>
      </c>
      <c r="I116" s="1">
        <f t="shared" si="7"/>
        <v>2</v>
      </c>
      <c r="J116" s="1">
        <f t="shared" si="8"/>
        <v>1</v>
      </c>
      <c r="K116" s="1">
        <f t="shared" si="9"/>
        <v>1</v>
      </c>
      <c r="L116" s="1">
        <f t="shared" si="13"/>
        <v>1</v>
      </c>
      <c r="M116" s="1">
        <v>3</v>
      </c>
      <c r="N116" s="12">
        <v>25.71</v>
      </c>
      <c r="O116" s="12">
        <v>4</v>
      </c>
      <c r="P116" s="12">
        <f>'Model output'!$B$17+'Model output'!$B$18*tips_table!$I116+'Model output'!$B$19*tips_table!$J116+'Model output'!$B$20*tips_table!$K116+'Model output'!$B$21*tips_table!$L116+'Model output'!$B$22*tips_table!$M116+'Model output'!$B$23*tips_table!$N116</f>
        <v>3.74350729880106</v>
      </c>
      <c r="Q116" s="8">
        <f t="shared" si="10"/>
        <v>0.25649270119893997</v>
      </c>
      <c r="R116" s="16">
        <f t="shared" si="11"/>
        <v>6.5788505768328703E-2</v>
      </c>
      <c r="W116" s="1">
        <v>0.75944339705833919</v>
      </c>
      <c r="X116" s="1">
        <f>'Model output'!$B$18*tips_table!$I116</f>
        <v>7.4367076081372621E-2</v>
      </c>
      <c r="Y116" s="1">
        <f>'Model output'!$B$20*tips_table!$K116</f>
        <v>8.8727762736486165E-2</v>
      </c>
      <c r="Z116" s="1">
        <f>'Model output'!$B$19*tips_table!$J116</f>
        <v>-7.3687758526173666E-2</v>
      </c>
      <c r="AA116" s="1">
        <f>'Model output'!$B$21*tips_table!$L116</f>
        <v>-5.3498842810068024E-2</v>
      </c>
      <c r="AB116" s="1">
        <f>'Model output'!$B$22*tips_table!$M116</f>
        <v>0.52179934822079044</v>
      </c>
      <c r="AC116" s="1">
        <f>'Model output'!$B$23*tips_table!$N116</f>
        <v>2.4263563160403132</v>
      </c>
      <c r="AD116" s="12">
        <f t="shared" si="12"/>
        <v>3.74350729880106</v>
      </c>
    </row>
    <row r="117" spans="1:30" x14ac:dyDescent="0.3">
      <c r="A117" s="1" t="s">
        <v>7</v>
      </c>
      <c r="B117" s="1" t="s">
        <v>8</v>
      </c>
      <c r="C117" s="1" t="s">
        <v>9</v>
      </c>
      <c r="D117" s="1" t="s">
        <v>10</v>
      </c>
      <c r="E117" s="1">
        <v>2</v>
      </c>
      <c r="F117" s="12">
        <v>17.309999999999999</v>
      </c>
      <c r="G117" s="12">
        <v>3.5</v>
      </c>
      <c r="I117" s="1">
        <f t="shared" si="7"/>
        <v>2</v>
      </c>
      <c r="J117" s="1">
        <f t="shared" si="8"/>
        <v>1</v>
      </c>
      <c r="K117" s="1">
        <f t="shared" si="9"/>
        <v>1</v>
      </c>
      <c r="L117" s="1">
        <f t="shared" si="13"/>
        <v>1</v>
      </c>
      <c r="M117" s="1">
        <v>2</v>
      </c>
      <c r="N117" s="12">
        <v>17.309999999999999</v>
      </c>
      <c r="O117" s="12">
        <v>3.5</v>
      </c>
      <c r="P117" s="12">
        <f>'Model output'!$B$17+'Model output'!$B$18*tips_table!$I117+'Model output'!$B$19*tips_table!$J117+'Model output'!$B$20*tips_table!$K117+'Model output'!$B$21*tips_table!$L117+'Model output'!$B$22*tips_table!$M117+'Model output'!$B$23*tips_table!$N117</f>
        <v>2.7768323291787027</v>
      </c>
      <c r="Q117" s="8">
        <f t="shared" si="10"/>
        <v>0.72316767082129729</v>
      </c>
      <c r="R117" s="16">
        <f t="shared" si="11"/>
        <v>0.52297148012110017</v>
      </c>
      <c r="W117" s="1">
        <v>0.75944339705833919</v>
      </c>
      <c r="X117" s="1">
        <f>'Model output'!$B$18*tips_table!$I117</f>
        <v>7.4367076081372621E-2</v>
      </c>
      <c r="Y117" s="1">
        <f>'Model output'!$B$20*tips_table!$K117</f>
        <v>8.8727762736486165E-2</v>
      </c>
      <c r="Z117" s="1">
        <f>'Model output'!$B$19*tips_table!$J117</f>
        <v>-7.3687758526173666E-2</v>
      </c>
      <c r="AA117" s="1">
        <f>'Model output'!$B$21*tips_table!$L117</f>
        <v>-5.3498842810068024E-2</v>
      </c>
      <c r="AB117" s="1">
        <f>'Model output'!$B$22*tips_table!$M117</f>
        <v>0.34786623214719364</v>
      </c>
      <c r="AC117" s="1">
        <f>'Model output'!$B$23*tips_table!$N117</f>
        <v>1.6336144624915527</v>
      </c>
      <c r="AD117" s="12">
        <f t="shared" si="12"/>
        <v>2.7768323291787027</v>
      </c>
    </row>
    <row r="118" spans="1:30" x14ac:dyDescent="0.3">
      <c r="A118" s="1" t="s">
        <v>11</v>
      </c>
      <c r="B118" s="1" t="s">
        <v>8</v>
      </c>
      <c r="C118" s="1" t="s">
        <v>9</v>
      </c>
      <c r="D118" s="1" t="s">
        <v>10</v>
      </c>
      <c r="E118" s="1">
        <v>4</v>
      </c>
      <c r="F118" s="12">
        <v>29.93</v>
      </c>
      <c r="G118" s="12">
        <v>5.07</v>
      </c>
      <c r="I118" s="1">
        <f t="shared" si="7"/>
        <v>1</v>
      </c>
      <c r="J118" s="1">
        <f t="shared" si="8"/>
        <v>1</v>
      </c>
      <c r="K118" s="1">
        <f t="shared" si="9"/>
        <v>1</v>
      </c>
      <c r="L118" s="1">
        <f t="shared" si="13"/>
        <v>1</v>
      </c>
      <c r="M118" s="1">
        <v>4</v>
      </c>
      <c r="N118" s="12">
        <v>29.93</v>
      </c>
      <c r="O118" s="12">
        <v>5.07</v>
      </c>
      <c r="P118" s="12">
        <f>'Model output'!$B$17+'Model output'!$B$18*tips_table!$I118+'Model output'!$B$19*tips_table!$J118+'Model output'!$B$20*tips_table!$K118+'Model output'!$B$21*tips_table!$L118+'Model output'!$B$22*tips_table!$M118+'Model output'!$B$23*tips_table!$N118</f>
        <v>4.2785152842120384</v>
      </c>
      <c r="Q118" s="8">
        <f t="shared" si="10"/>
        <v>0.79148471578796187</v>
      </c>
      <c r="R118" s="16">
        <f t="shared" si="11"/>
        <v>0.62644805532595083</v>
      </c>
      <c r="W118" s="1">
        <v>0.75944339705833919</v>
      </c>
      <c r="X118" s="1">
        <f>'Model output'!$B$18*tips_table!$I118</f>
        <v>3.7183538040686311E-2</v>
      </c>
      <c r="Y118" s="1">
        <f>'Model output'!$B$20*tips_table!$K118</f>
        <v>8.8727762736486165E-2</v>
      </c>
      <c r="Z118" s="1">
        <f>'Model output'!$B$19*tips_table!$J118</f>
        <v>-7.3687758526173666E-2</v>
      </c>
      <c r="AA118" s="1">
        <f>'Model output'!$B$21*tips_table!$L118</f>
        <v>-5.3498842810068024E-2</v>
      </c>
      <c r="AB118" s="1">
        <f>'Model output'!$B$22*tips_table!$M118</f>
        <v>0.69573246429438729</v>
      </c>
      <c r="AC118" s="1">
        <f>'Model output'!$B$23*tips_table!$N118</f>
        <v>2.8246147234183812</v>
      </c>
      <c r="AD118" s="12">
        <f t="shared" si="12"/>
        <v>4.2785152842120384</v>
      </c>
    </row>
    <row r="119" spans="1:30" x14ac:dyDescent="0.3">
      <c r="A119" s="1" t="s">
        <v>7</v>
      </c>
      <c r="B119" s="1" t="s">
        <v>8</v>
      </c>
      <c r="C119" s="1" t="s">
        <v>14</v>
      </c>
      <c r="D119" s="1" t="s">
        <v>15</v>
      </c>
      <c r="E119" s="1">
        <v>2</v>
      </c>
      <c r="F119" s="12">
        <v>10.65</v>
      </c>
      <c r="G119" s="12">
        <v>1.5</v>
      </c>
      <c r="I119" s="1">
        <f t="shared" si="7"/>
        <v>2</v>
      </c>
      <c r="J119" s="1">
        <f t="shared" si="8"/>
        <v>1</v>
      </c>
      <c r="K119" s="1">
        <f t="shared" si="9"/>
        <v>2</v>
      </c>
      <c r="L119" s="1">
        <f t="shared" si="13"/>
        <v>4</v>
      </c>
      <c r="M119" s="1">
        <v>2</v>
      </c>
      <c r="N119" s="12">
        <v>10.65</v>
      </c>
      <c r="O119" s="12">
        <v>1.5</v>
      </c>
      <c r="P119" s="12">
        <f>'Model output'!$B$17+'Model output'!$B$18*tips_table!$I119+'Model output'!$B$19*tips_table!$J119+'Model output'!$B$20*tips_table!$K119+'Model output'!$B$21*tips_table!$L119+'Model output'!$B$22*tips_table!$M119+'Model output'!$B$23*tips_table!$N119</f>
        <v>2.0765325224570388</v>
      </c>
      <c r="Q119" s="8">
        <f t="shared" si="10"/>
        <v>-0.57653252245703879</v>
      </c>
      <c r="R119" s="16">
        <f t="shared" si="11"/>
        <v>0.33238974945067595</v>
      </c>
      <c r="W119" s="1">
        <v>0.75944339705833919</v>
      </c>
      <c r="X119" s="1">
        <f>'Model output'!$B$18*tips_table!$I119</f>
        <v>7.4367076081372621E-2</v>
      </c>
      <c r="Y119" s="1">
        <f>'Model output'!$B$20*tips_table!$K119</f>
        <v>0.17745552547297233</v>
      </c>
      <c r="Z119" s="1">
        <f>'Model output'!$B$19*tips_table!$J119</f>
        <v>-7.3687758526173666E-2</v>
      </c>
      <c r="AA119" s="1">
        <f>'Model output'!$B$21*tips_table!$L119</f>
        <v>-0.2139953712402721</v>
      </c>
      <c r="AB119" s="1">
        <f>'Model output'!$B$22*tips_table!$M119</f>
        <v>0.34786623214719364</v>
      </c>
      <c r="AC119" s="1">
        <f>'Model output'!$B$23*tips_table!$N119</f>
        <v>1.0050834214636071</v>
      </c>
      <c r="AD119" s="12">
        <f t="shared" si="12"/>
        <v>2.0765325224570388</v>
      </c>
    </row>
    <row r="120" spans="1:30" x14ac:dyDescent="0.3">
      <c r="A120" s="1" t="s">
        <v>7</v>
      </c>
      <c r="B120" s="1" t="s">
        <v>8</v>
      </c>
      <c r="C120" s="1" t="s">
        <v>14</v>
      </c>
      <c r="D120" s="1" t="s">
        <v>15</v>
      </c>
      <c r="E120" s="1">
        <v>2</v>
      </c>
      <c r="F120" s="12">
        <v>12.43</v>
      </c>
      <c r="G120" s="12">
        <v>1.8</v>
      </c>
      <c r="I120" s="1">
        <f t="shared" si="7"/>
        <v>2</v>
      </c>
      <c r="J120" s="1">
        <f t="shared" si="8"/>
        <v>1</v>
      </c>
      <c r="K120" s="1">
        <f t="shared" si="9"/>
        <v>2</v>
      </c>
      <c r="L120" s="1">
        <f t="shared" si="13"/>
        <v>4</v>
      </c>
      <c r="M120" s="1">
        <v>2</v>
      </c>
      <c r="N120" s="12">
        <v>12.43</v>
      </c>
      <c r="O120" s="12">
        <v>1.8</v>
      </c>
      <c r="P120" s="12">
        <f>'Model output'!$B$17+'Model output'!$B$18*tips_table!$I120+'Model output'!$B$19*tips_table!$J120+'Model output'!$B$20*tips_table!$K120+'Model output'!$B$21*tips_table!$L120+'Model output'!$B$22*tips_table!$M120+'Model output'!$B$23*tips_table!$N120</f>
        <v>2.2445182961852286</v>
      </c>
      <c r="Q120" s="8">
        <f t="shared" si="10"/>
        <v>-0.44451829618522853</v>
      </c>
      <c r="R120" s="16">
        <f t="shared" si="11"/>
        <v>0.19759651564341857</v>
      </c>
      <c r="W120" s="1">
        <v>0.75944339705833919</v>
      </c>
      <c r="X120" s="1">
        <f>'Model output'!$B$18*tips_table!$I120</f>
        <v>7.4367076081372621E-2</v>
      </c>
      <c r="Y120" s="1">
        <f>'Model output'!$B$20*tips_table!$K120</f>
        <v>0.17745552547297233</v>
      </c>
      <c r="Z120" s="1">
        <f>'Model output'!$B$19*tips_table!$J120</f>
        <v>-7.3687758526173666E-2</v>
      </c>
      <c r="AA120" s="1">
        <f>'Model output'!$B$21*tips_table!$L120</f>
        <v>-0.2139953712402721</v>
      </c>
      <c r="AB120" s="1">
        <f>'Model output'!$B$22*tips_table!$M120</f>
        <v>0.34786623214719364</v>
      </c>
      <c r="AC120" s="1">
        <f>'Model output'!$B$23*tips_table!$N120</f>
        <v>1.1730691951917966</v>
      </c>
      <c r="AD120" s="12">
        <f t="shared" si="12"/>
        <v>2.2445182961852286</v>
      </c>
    </row>
    <row r="121" spans="1:30" x14ac:dyDescent="0.3">
      <c r="A121" s="1" t="s">
        <v>7</v>
      </c>
      <c r="B121" s="1" t="s">
        <v>8</v>
      </c>
      <c r="C121" s="1" t="s">
        <v>14</v>
      </c>
      <c r="D121" s="1" t="s">
        <v>15</v>
      </c>
      <c r="E121" s="1">
        <v>4</v>
      </c>
      <c r="F121" s="12">
        <v>24.08</v>
      </c>
      <c r="G121" s="12">
        <v>2.92</v>
      </c>
      <c r="I121" s="1">
        <f t="shared" si="7"/>
        <v>2</v>
      </c>
      <c r="J121" s="1">
        <f t="shared" si="8"/>
        <v>1</v>
      </c>
      <c r="K121" s="1">
        <f t="shared" si="9"/>
        <v>2</v>
      </c>
      <c r="L121" s="1">
        <f t="shared" si="13"/>
        <v>4</v>
      </c>
      <c r="M121" s="1">
        <v>4</v>
      </c>
      <c r="N121" s="12">
        <v>24.08</v>
      </c>
      <c r="O121" s="12">
        <v>2.92</v>
      </c>
      <c r="P121" s="12">
        <f>'Model output'!$B$17+'Model output'!$B$18*tips_table!$I121+'Model output'!$B$19*tips_table!$J121+'Model output'!$B$20*tips_table!$K121+'Model output'!$B$21*tips_table!$L121+'Model output'!$B$22*tips_table!$M121+'Model output'!$B$23*tips_table!$N121</f>
        <v>3.6918419799804054</v>
      </c>
      <c r="Q121" s="8">
        <f t="shared" si="10"/>
        <v>-0.77184197998040549</v>
      </c>
      <c r="R121" s="16">
        <f t="shared" si="11"/>
        <v>0.59574004206007269</v>
      </c>
      <c r="W121" s="1">
        <v>0.75944339705833919</v>
      </c>
      <c r="X121" s="1">
        <f>'Model output'!$B$18*tips_table!$I121</f>
        <v>7.4367076081372621E-2</v>
      </c>
      <c r="Y121" s="1">
        <f>'Model output'!$B$20*tips_table!$K121</f>
        <v>0.17745552547297233</v>
      </c>
      <c r="Z121" s="1">
        <f>'Model output'!$B$19*tips_table!$J121</f>
        <v>-7.3687758526173666E-2</v>
      </c>
      <c r="AA121" s="1">
        <f>'Model output'!$B$21*tips_table!$L121</f>
        <v>-0.2139953712402721</v>
      </c>
      <c r="AB121" s="1">
        <f>'Model output'!$B$22*tips_table!$M121</f>
        <v>0.69573246429438729</v>
      </c>
      <c r="AC121" s="1">
        <f>'Model output'!$B$23*tips_table!$N121</f>
        <v>2.27252664683978</v>
      </c>
      <c r="AD121" s="12">
        <f t="shared" si="12"/>
        <v>3.6918419799804054</v>
      </c>
    </row>
    <row r="122" spans="1:30" x14ac:dyDescent="0.3">
      <c r="A122" s="1" t="s">
        <v>11</v>
      </c>
      <c r="B122" s="1" t="s">
        <v>8</v>
      </c>
      <c r="C122" s="1" t="s">
        <v>14</v>
      </c>
      <c r="D122" s="1" t="s">
        <v>15</v>
      </c>
      <c r="E122" s="1">
        <v>2</v>
      </c>
      <c r="F122" s="12">
        <v>11.69</v>
      </c>
      <c r="G122" s="12">
        <v>2.31</v>
      </c>
      <c r="I122" s="1">
        <f t="shared" si="7"/>
        <v>1</v>
      </c>
      <c r="J122" s="1">
        <f t="shared" si="8"/>
        <v>1</v>
      </c>
      <c r="K122" s="1">
        <f t="shared" si="9"/>
        <v>2</v>
      </c>
      <c r="L122" s="1">
        <f t="shared" si="13"/>
        <v>4</v>
      </c>
      <c r="M122" s="1">
        <v>2</v>
      </c>
      <c r="N122" s="12">
        <v>11.69</v>
      </c>
      <c r="O122" s="12">
        <v>2.31</v>
      </c>
      <c r="P122" s="12">
        <f>'Model output'!$B$17+'Model output'!$B$18*tips_table!$I122+'Model output'!$B$19*tips_table!$J122+'Model output'!$B$20*tips_table!$K122+'Model output'!$B$21*tips_table!$L122+'Model output'!$B$22*tips_table!$M122+'Model output'!$B$23*tips_table!$N122</f>
        <v>2.1374979758081039</v>
      </c>
      <c r="Q122" s="8">
        <f t="shared" si="10"/>
        <v>0.1725020241918962</v>
      </c>
      <c r="R122" s="16">
        <f t="shared" si="11"/>
        <v>2.975694835030154E-2</v>
      </c>
      <c r="W122" s="1">
        <v>0.75944339705833919</v>
      </c>
      <c r="X122" s="1">
        <f>'Model output'!$B$18*tips_table!$I122</f>
        <v>3.7183538040686311E-2</v>
      </c>
      <c r="Y122" s="1">
        <f>'Model output'!$B$20*tips_table!$K122</f>
        <v>0.17745552547297233</v>
      </c>
      <c r="Z122" s="1">
        <f>'Model output'!$B$19*tips_table!$J122</f>
        <v>-7.3687758526173666E-2</v>
      </c>
      <c r="AA122" s="1">
        <f>'Model output'!$B$21*tips_table!$L122</f>
        <v>-0.2139953712402721</v>
      </c>
      <c r="AB122" s="1">
        <f>'Model output'!$B$22*tips_table!$M122</f>
        <v>0.34786623214719364</v>
      </c>
      <c r="AC122" s="1">
        <f>'Model output'!$B$23*tips_table!$N122</f>
        <v>1.1032324128553583</v>
      </c>
      <c r="AD122" s="12">
        <f t="shared" si="12"/>
        <v>2.1374979758081039</v>
      </c>
    </row>
    <row r="123" spans="1:30" x14ac:dyDescent="0.3">
      <c r="A123" s="1" t="s">
        <v>7</v>
      </c>
      <c r="B123" s="1" t="s">
        <v>8</v>
      </c>
      <c r="C123" s="1" t="s">
        <v>14</v>
      </c>
      <c r="D123" s="1" t="s">
        <v>15</v>
      </c>
      <c r="E123" s="1">
        <v>2</v>
      </c>
      <c r="F123" s="12">
        <v>13.42</v>
      </c>
      <c r="G123" s="12">
        <v>1.68</v>
      </c>
      <c r="I123" s="1">
        <f t="shared" si="7"/>
        <v>2</v>
      </c>
      <c r="J123" s="1">
        <f t="shared" si="8"/>
        <v>1</v>
      </c>
      <c r="K123" s="1">
        <f t="shared" si="9"/>
        <v>2</v>
      </c>
      <c r="L123" s="1">
        <f t="shared" si="13"/>
        <v>4</v>
      </c>
      <c r="M123" s="1">
        <v>2</v>
      </c>
      <c r="N123" s="12">
        <v>13.42</v>
      </c>
      <c r="O123" s="12">
        <v>1.68</v>
      </c>
      <c r="P123" s="12">
        <f>'Model output'!$B$17+'Model output'!$B$18*tips_table!$I123+'Model output'!$B$19*tips_table!$J123+'Model output'!$B$20*tips_table!$K123+'Model output'!$B$21*tips_table!$L123+'Model output'!$B$22*tips_table!$M123+'Model output'!$B$23*tips_table!$N123</f>
        <v>2.3379485860677613</v>
      </c>
      <c r="Q123" s="8">
        <f t="shared" si="10"/>
        <v>-0.65794858606776141</v>
      </c>
      <c r="R123" s="16">
        <f t="shared" si="11"/>
        <v>0.43289634190856646</v>
      </c>
      <c r="W123" s="1">
        <v>0.75944339705833919</v>
      </c>
      <c r="X123" s="1">
        <f>'Model output'!$B$18*tips_table!$I123</f>
        <v>7.4367076081372621E-2</v>
      </c>
      <c r="Y123" s="1">
        <f>'Model output'!$B$20*tips_table!$K123</f>
        <v>0.17745552547297233</v>
      </c>
      <c r="Z123" s="1">
        <f>'Model output'!$B$19*tips_table!$J123</f>
        <v>-7.3687758526173666E-2</v>
      </c>
      <c r="AA123" s="1">
        <f>'Model output'!$B$21*tips_table!$L123</f>
        <v>-0.2139953712402721</v>
      </c>
      <c r="AB123" s="1">
        <f>'Model output'!$B$22*tips_table!$M123</f>
        <v>0.34786623214719364</v>
      </c>
      <c r="AC123" s="1">
        <f>'Model output'!$B$23*tips_table!$N123</f>
        <v>1.2664994850743292</v>
      </c>
      <c r="AD123" s="12">
        <f t="shared" si="12"/>
        <v>2.3379485860677613</v>
      </c>
    </row>
    <row r="124" spans="1:30" x14ac:dyDescent="0.3">
      <c r="A124" s="1" t="s">
        <v>11</v>
      </c>
      <c r="B124" s="1" t="s">
        <v>8</v>
      </c>
      <c r="C124" s="1" t="s">
        <v>14</v>
      </c>
      <c r="D124" s="1" t="s">
        <v>15</v>
      </c>
      <c r="E124" s="1">
        <v>2</v>
      </c>
      <c r="F124" s="12">
        <v>14.26</v>
      </c>
      <c r="G124" s="12">
        <v>2.5</v>
      </c>
      <c r="I124" s="1">
        <f t="shared" si="7"/>
        <v>1</v>
      </c>
      <c r="J124" s="1">
        <f t="shared" si="8"/>
        <v>1</v>
      </c>
      <c r="K124" s="1">
        <f t="shared" si="9"/>
        <v>2</v>
      </c>
      <c r="L124" s="1">
        <f t="shared" si="13"/>
        <v>4</v>
      </c>
      <c r="M124" s="1">
        <v>2</v>
      </c>
      <c r="N124" s="12">
        <v>14.26</v>
      </c>
      <c r="O124" s="12">
        <v>2.5</v>
      </c>
      <c r="P124" s="12">
        <f>'Model output'!$B$17+'Model output'!$B$18*tips_table!$I124+'Model output'!$B$19*tips_table!$J124+'Model output'!$B$20*tips_table!$K124+'Model output'!$B$21*tips_table!$L124+'Model output'!$B$22*tips_table!$M124+'Model output'!$B$23*tips_table!$N124</f>
        <v>2.3800392333819511</v>
      </c>
      <c r="Q124" s="8">
        <f t="shared" si="10"/>
        <v>0.11996076661804889</v>
      </c>
      <c r="R124" s="16">
        <f t="shared" si="11"/>
        <v>1.4390585527589992E-2</v>
      </c>
      <c r="W124" s="1">
        <v>0.75944339705833919</v>
      </c>
      <c r="X124" s="1">
        <f>'Model output'!$B$18*tips_table!$I124</f>
        <v>3.7183538040686311E-2</v>
      </c>
      <c r="Y124" s="1">
        <f>'Model output'!$B$20*tips_table!$K124</f>
        <v>0.17745552547297233</v>
      </c>
      <c r="Z124" s="1">
        <f>'Model output'!$B$19*tips_table!$J124</f>
        <v>-7.3687758526173666E-2</v>
      </c>
      <c r="AA124" s="1">
        <f>'Model output'!$B$21*tips_table!$L124</f>
        <v>-0.2139953712402721</v>
      </c>
      <c r="AB124" s="1">
        <f>'Model output'!$B$22*tips_table!$M124</f>
        <v>0.34786623214719364</v>
      </c>
      <c r="AC124" s="1">
        <f>'Model output'!$B$23*tips_table!$N124</f>
        <v>1.3457736704292054</v>
      </c>
      <c r="AD124" s="12">
        <f t="shared" si="12"/>
        <v>2.3800392333819511</v>
      </c>
    </row>
    <row r="125" spans="1:30" x14ac:dyDescent="0.3">
      <c r="A125" s="1" t="s">
        <v>11</v>
      </c>
      <c r="B125" s="1" t="s">
        <v>8</v>
      </c>
      <c r="C125" s="1" t="s">
        <v>14</v>
      </c>
      <c r="D125" s="1" t="s">
        <v>15</v>
      </c>
      <c r="E125" s="1">
        <v>2</v>
      </c>
      <c r="F125" s="12">
        <v>15.95</v>
      </c>
      <c r="G125" s="12">
        <v>2</v>
      </c>
      <c r="I125" s="1">
        <f t="shared" si="7"/>
        <v>1</v>
      </c>
      <c r="J125" s="1">
        <f t="shared" si="8"/>
        <v>1</v>
      </c>
      <c r="K125" s="1">
        <f t="shared" si="9"/>
        <v>2</v>
      </c>
      <c r="L125" s="1">
        <f t="shared" si="13"/>
        <v>4</v>
      </c>
      <c r="M125" s="1">
        <v>2</v>
      </c>
      <c r="N125" s="12">
        <v>15.95</v>
      </c>
      <c r="O125" s="12">
        <v>2</v>
      </c>
      <c r="P125" s="12">
        <f>'Model output'!$B$17+'Model output'!$B$18*tips_table!$I125+'Model output'!$B$19*tips_table!$J125+'Model output'!$B$20*tips_table!$K125+'Model output'!$B$21*tips_table!$L125+'Model output'!$B$22*tips_table!$M125+'Model output'!$B$23*tips_table!$N125</f>
        <v>2.5395313443935468</v>
      </c>
      <c r="Q125" s="8">
        <f t="shared" si="10"/>
        <v>-0.53953134439354677</v>
      </c>
      <c r="R125" s="16">
        <f t="shared" si="11"/>
        <v>0.29109407158310796</v>
      </c>
      <c r="W125" s="1">
        <v>0.75944339705833919</v>
      </c>
      <c r="X125" s="1">
        <f>'Model output'!$B$18*tips_table!$I125</f>
        <v>3.7183538040686311E-2</v>
      </c>
      <c r="Y125" s="1">
        <f>'Model output'!$B$20*tips_table!$K125</f>
        <v>0.17745552547297233</v>
      </c>
      <c r="Z125" s="1">
        <f>'Model output'!$B$19*tips_table!$J125</f>
        <v>-7.3687758526173666E-2</v>
      </c>
      <c r="AA125" s="1">
        <f>'Model output'!$B$21*tips_table!$L125</f>
        <v>-0.2139953712402721</v>
      </c>
      <c r="AB125" s="1">
        <f>'Model output'!$B$22*tips_table!$M125</f>
        <v>0.34786623214719364</v>
      </c>
      <c r="AC125" s="1">
        <f>'Model output'!$B$23*tips_table!$N125</f>
        <v>1.505265781440801</v>
      </c>
      <c r="AD125" s="12">
        <f t="shared" si="12"/>
        <v>2.5395313443935468</v>
      </c>
    </row>
    <row r="126" spans="1:30" x14ac:dyDescent="0.3">
      <c r="A126" s="1" t="s">
        <v>7</v>
      </c>
      <c r="B126" s="1" t="s">
        <v>8</v>
      </c>
      <c r="C126" s="1" t="s">
        <v>14</v>
      </c>
      <c r="D126" s="1" t="s">
        <v>15</v>
      </c>
      <c r="E126" s="1">
        <v>2</v>
      </c>
      <c r="F126" s="12">
        <v>12.48</v>
      </c>
      <c r="G126" s="12">
        <v>2.52</v>
      </c>
      <c r="I126" s="1">
        <f t="shared" si="7"/>
        <v>2</v>
      </c>
      <c r="J126" s="1">
        <f t="shared" si="8"/>
        <v>1</v>
      </c>
      <c r="K126" s="1">
        <f t="shared" si="9"/>
        <v>2</v>
      </c>
      <c r="L126" s="1">
        <f t="shared" si="13"/>
        <v>4</v>
      </c>
      <c r="M126" s="1">
        <v>2</v>
      </c>
      <c r="N126" s="12">
        <v>12.48</v>
      </c>
      <c r="O126" s="12">
        <v>2.52</v>
      </c>
      <c r="P126" s="12">
        <f>'Model output'!$B$17+'Model output'!$B$18*tips_table!$I126+'Model output'!$B$19*tips_table!$J126+'Model output'!$B$20*tips_table!$K126+'Model output'!$B$21*tips_table!$L126+'Model output'!$B$22*tips_table!$M126+'Model output'!$B$23*tips_table!$N126</f>
        <v>2.2492369976944477</v>
      </c>
      <c r="Q126" s="8">
        <f t="shared" si="10"/>
        <v>0.27076300230555228</v>
      </c>
      <c r="R126" s="16">
        <f t="shared" si="11"/>
        <v>7.3312603417516511E-2</v>
      </c>
      <c r="W126" s="1">
        <v>0.75944339705833919</v>
      </c>
      <c r="X126" s="1">
        <f>'Model output'!$B$18*tips_table!$I126</f>
        <v>7.4367076081372621E-2</v>
      </c>
      <c r="Y126" s="1">
        <f>'Model output'!$B$20*tips_table!$K126</f>
        <v>0.17745552547297233</v>
      </c>
      <c r="Z126" s="1">
        <f>'Model output'!$B$19*tips_table!$J126</f>
        <v>-7.3687758526173666E-2</v>
      </c>
      <c r="AA126" s="1">
        <f>'Model output'!$B$21*tips_table!$L126</f>
        <v>-0.2139953712402721</v>
      </c>
      <c r="AB126" s="1">
        <f>'Model output'!$B$22*tips_table!$M126</f>
        <v>0.34786623214719364</v>
      </c>
      <c r="AC126" s="1">
        <f>'Model output'!$B$23*tips_table!$N126</f>
        <v>1.1777878967010156</v>
      </c>
      <c r="AD126" s="12">
        <f t="shared" si="12"/>
        <v>2.2492369976944477</v>
      </c>
    </row>
    <row r="127" spans="1:30" x14ac:dyDescent="0.3">
      <c r="A127" s="1" t="s">
        <v>7</v>
      </c>
      <c r="B127" s="1" t="s">
        <v>8</v>
      </c>
      <c r="C127" s="1" t="s">
        <v>14</v>
      </c>
      <c r="D127" s="1" t="s">
        <v>15</v>
      </c>
      <c r="E127" s="1">
        <v>6</v>
      </c>
      <c r="F127" s="12">
        <v>29.8</v>
      </c>
      <c r="G127" s="12">
        <v>4.2</v>
      </c>
      <c r="I127" s="1">
        <f t="shared" si="7"/>
        <v>2</v>
      </c>
      <c r="J127" s="1">
        <f t="shared" si="8"/>
        <v>1</v>
      </c>
      <c r="K127" s="1">
        <f t="shared" si="9"/>
        <v>2</v>
      </c>
      <c r="L127" s="1">
        <f t="shared" si="13"/>
        <v>4</v>
      </c>
      <c r="M127" s="1">
        <v>6</v>
      </c>
      <c r="N127" s="12">
        <v>29.8</v>
      </c>
      <c r="O127" s="12">
        <v>4.2</v>
      </c>
      <c r="P127" s="12">
        <f>'Model output'!$B$17+'Model output'!$B$18*tips_table!$I127+'Model output'!$B$19*tips_table!$J127+'Model output'!$B$20*tips_table!$K127+'Model output'!$B$21*tips_table!$L127+'Model output'!$B$22*tips_table!$M127+'Model output'!$B$23*tips_table!$N127</f>
        <v>4.5795276647822316</v>
      </c>
      <c r="Q127" s="8">
        <f t="shared" si="10"/>
        <v>-0.37952766478223143</v>
      </c>
      <c r="R127" s="16">
        <f t="shared" si="11"/>
        <v>0.14404124833505383</v>
      </c>
      <c r="W127" s="1">
        <v>0.75944339705833919</v>
      </c>
      <c r="X127" s="1">
        <f>'Model output'!$B$18*tips_table!$I127</f>
        <v>7.4367076081372621E-2</v>
      </c>
      <c r="Y127" s="1">
        <f>'Model output'!$B$20*tips_table!$K127</f>
        <v>0.17745552547297233</v>
      </c>
      <c r="Z127" s="1">
        <f>'Model output'!$B$19*tips_table!$J127</f>
        <v>-7.3687758526173666E-2</v>
      </c>
      <c r="AA127" s="1">
        <f>'Model output'!$B$21*tips_table!$L127</f>
        <v>-0.2139953712402721</v>
      </c>
      <c r="AB127" s="1">
        <f>'Model output'!$B$22*tips_table!$M127</f>
        <v>1.0435986964415809</v>
      </c>
      <c r="AC127" s="1">
        <f>'Model output'!$B$23*tips_table!$N127</f>
        <v>2.8123460994944121</v>
      </c>
      <c r="AD127" s="12">
        <f t="shared" si="12"/>
        <v>4.5795276647822316</v>
      </c>
    </row>
    <row r="128" spans="1:30" x14ac:dyDescent="0.3">
      <c r="A128" s="1" t="s">
        <v>11</v>
      </c>
      <c r="B128" s="1" t="s">
        <v>8</v>
      </c>
      <c r="C128" s="1" t="s">
        <v>14</v>
      </c>
      <c r="D128" s="1" t="s">
        <v>15</v>
      </c>
      <c r="E128" s="1">
        <v>2</v>
      </c>
      <c r="F128" s="12">
        <v>8.52</v>
      </c>
      <c r="G128" s="12">
        <v>1.48</v>
      </c>
      <c r="I128" s="1">
        <f t="shared" si="7"/>
        <v>1</v>
      </c>
      <c r="J128" s="1">
        <f t="shared" si="8"/>
        <v>1</v>
      </c>
      <c r="K128" s="1">
        <f t="shared" si="9"/>
        <v>2</v>
      </c>
      <c r="L128" s="1">
        <f t="shared" si="13"/>
        <v>4</v>
      </c>
      <c r="M128" s="1">
        <v>2</v>
      </c>
      <c r="N128" s="12">
        <v>8.52</v>
      </c>
      <c r="O128" s="12">
        <v>1.48</v>
      </c>
      <c r="P128" s="12">
        <f>'Model output'!$B$17+'Model output'!$B$18*tips_table!$I128+'Model output'!$B$19*tips_table!$J128+'Model output'!$B$20*tips_table!$K128+'Model output'!$B$21*tips_table!$L128+'Model output'!$B$22*tips_table!$M128+'Model output'!$B$23*tips_table!$N128</f>
        <v>1.8383323001236311</v>
      </c>
      <c r="Q128" s="8">
        <f t="shared" si="10"/>
        <v>-0.35833230012363115</v>
      </c>
      <c r="R128" s="16">
        <f t="shared" si="11"/>
        <v>0.12840203731189206</v>
      </c>
      <c r="W128" s="1">
        <v>0.75944339705833919</v>
      </c>
      <c r="X128" s="1">
        <f>'Model output'!$B$18*tips_table!$I128</f>
        <v>3.7183538040686311E-2</v>
      </c>
      <c r="Y128" s="1">
        <f>'Model output'!$B$20*tips_table!$K128</f>
        <v>0.17745552547297233</v>
      </c>
      <c r="Z128" s="1">
        <f>'Model output'!$B$19*tips_table!$J128</f>
        <v>-7.3687758526173666E-2</v>
      </c>
      <c r="AA128" s="1">
        <f>'Model output'!$B$21*tips_table!$L128</f>
        <v>-0.2139953712402721</v>
      </c>
      <c r="AB128" s="1">
        <f>'Model output'!$B$22*tips_table!$M128</f>
        <v>0.34786623214719364</v>
      </c>
      <c r="AC128" s="1">
        <f>'Model output'!$B$23*tips_table!$N128</f>
        <v>0.80406673717088561</v>
      </c>
      <c r="AD128" s="12">
        <f t="shared" si="12"/>
        <v>1.8383323001236311</v>
      </c>
    </row>
    <row r="129" spans="1:30" x14ac:dyDescent="0.3">
      <c r="A129" s="1" t="s">
        <v>7</v>
      </c>
      <c r="B129" s="1" t="s">
        <v>8</v>
      </c>
      <c r="C129" s="1" t="s">
        <v>14</v>
      </c>
      <c r="D129" s="1" t="s">
        <v>15</v>
      </c>
      <c r="E129" s="1">
        <v>2</v>
      </c>
      <c r="F129" s="12">
        <v>14.52</v>
      </c>
      <c r="G129" s="12">
        <v>2</v>
      </c>
      <c r="I129" s="1">
        <f t="shared" si="7"/>
        <v>2</v>
      </c>
      <c r="J129" s="1">
        <f t="shared" si="8"/>
        <v>1</v>
      </c>
      <c r="K129" s="1">
        <f t="shared" si="9"/>
        <v>2</v>
      </c>
      <c r="L129" s="1">
        <f t="shared" si="13"/>
        <v>4</v>
      </c>
      <c r="M129" s="1">
        <v>2</v>
      </c>
      <c r="N129" s="12">
        <v>14.52</v>
      </c>
      <c r="O129" s="12">
        <v>2</v>
      </c>
      <c r="P129" s="12">
        <f>'Model output'!$B$17+'Model output'!$B$18*tips_table!$I129+'Model output'!$B$19*tips_table!$J129+'Model output'!$B$20*tips_table!$K129+'Model output'!$B$21*tips_table!$L129+'Model output'!$B$22*tips_table!$M129+'Model output'!$B$23*tips_table!$N129</f>
        <v>2.4417600192705748</v>
      </c>
      <c r="Q129" s="8">
        <f t="shared" si="10"/>
        <v>-0.44176001927057484</v>
      </c>
      <c r="R129" s="16">
        <f t="shared" si="11"/>
        <v>0.19515191462593864</v>
      </c>
      <c r="W129" s="1">
        <v>0.75944339705833919</v>
      </c>
      <c r="X129" s="1">
        <f>'Model output'!$B$18*tips_table!$I129</f>
        <v>7.4367076081372621E-2</v>
      </c>
      <c r="Y129" s="1">
        <f>'Model output'!$B$20*tips_table!$K129</f>
        <v>0.17745552547297233</v>
      </c>
      <c r="Z129" s="1">
        <f>'Model output'!$B$19*tips_table!$J129</f>
        <v>-7.3687758526173666E-2</v>
      </c>
      <c r="AA129" s="1">
        <f>'Model output'!$B$21*tips_table!$L129</f>
        <v>-0.2139953712402721</v>
      </c>
      <c r="AB129" s="1">
        <f>'Model output'!$B$22*tips_table!$M129</f>
        <v>0.34786623214719364</v>
      </c>
      <c r="AC129" s="1">
        <f>'Model output'!$B$23*tips_table!$N129</f>
        <v>1.3703109182771431</v>
      </c>
      <c r="AD129" s="12">
        <f t="shared" si="12"/>
        <v>2.4417600192705748</v>
      </c>
    </row>
    <row r="130" spans="1:30" x14ac:dyDescent="0.3">
      <c r="A130" s="1" t="s">
        <v>7</v>
      </c>
      <c r="B130" s="1" t="s">
        <v>8</v>
      </c>
      <c r="C130" s="1" t="s">
        <v>14</v>
      </c>
      <c r="D130" s="1" t="s">
        <v>15</v>
      </c>
      <c r="E130" s="1">
        <v>2</v>
      </c>
      <c r="F130" s="12">
        <v>11.38</v>
      </c>
      <c r="G130" s="12">
        <v>2</v>
      </c>
      <c r="I130" s="1">
        <f t="shared" si="7"/>
        <v>2</v>
      </c>
      <c r="J130" s="1">
        <f t="shared" si="8"/>
        <v>1</v>
      </c>
      <c r="K130" s="1">
        <f t="shared" si="9"/>
        <v>2</v>
      </c>
      <c r="L130" s="1">
        <f t="shared" si="13"/>
        <v>4</v>
      </c>
      <c r="M130" s="1">
        <v>2</v>
      </c>
      <c r="N130" s="12">
        <v>11.38</v>
      </c>
      <c r="O130" s="12">
        <v>2</v>
      </c>
      <c r="P130" s="12">
        <f>'Model output'!$B$17+'Model output'!$B$18*tips_table!$I130+'Model output'!$B$19*tips_table!$J130+'Model output'!$B$20*tips_table!$K130+'Model output'!$B$21*tips_table!$L130+'Model output'!$B$22*tips_table!$M130+'Model output'!$B$23*tips_table!$N130</f>
        <v>2.1454255644916338</v>
      </c>
      <c r="Q130" s="8">
        <f t="shared" si="10"/>
        <v>-0.1454255644916338</v>
      </c>
      <c r="R130" s="16">
        <f t="shared" si="11"/>
        <v>2.1148594807710339E-2</v>
      </c>
      <c r="W130" s="1">
        <v>0.75944339705833919</v>
      </c>
      <c r="X130" s="1">
        <f>'Model output'!$B$18*tips_table!$I130</f>
        <v>7.4367076081372621E-2</v>
      </c>
      <c r="Y130" s="1">
        <f>'Model output'!$B$20*tips_table!$K130</f>
        <v>0.17745552547297233</v>
      </c>
      <c r="Z130" s="1">
        <f>'Model output'!$B$19*tips_table!$J130</f>
        <v>-7.3687758526173666E-2</v>
      </c>
      <c r="AA130" s="1">
        <f>'Model output'!$B$21*tips_table!$L130</f>
        <v>-0.2139953712402721</v>
      </c>
      <c r="AB130" s="1">
        <f>'Model output'!$B$22*tips_table!$M130</f>
        <v>0.34786623214719364</v>
      </c>
      <c r="AC130" s="1">
        <f>'Model output'!$B$23*tips_table!$N130</f>
        <v>1.0739764634982019</v>
      </c>
      <c r="AD130" s="12">
        <f t="shared" si="12"/>
        <v>2.1454255644916338</v>
      </c>
    </row>
    <row r="131" spans="1:30" x14ac:dyDescent="0.3">
      <c r="A131" s="1" t="s">
        <v>11</v>
      </c>
      <c r="B131" s="1" t="s">
        <v>8</v>
      </c>
      <c r="C131" s="1" t="s">
        <v>14</v>
      </c>
      <c r="D131" s="1" t="s">
        <v>15</v>
      </c>
      <c r="E131" s="1">
        <v>3</v>
      </c>
      <c r="F131" s="12">
        <v>22.82</v>
      </c>
      <c r="G131" s="12">
        <v>2.1800000000000002</v>
      </c>
      <c r="I131" s="1">
        <f t="shared" ref="I131:I194" si="14">IF($A131="Male",1,2)</f>
        <v>1</v>
      </c>
      <c r="J131" s="1">
        <f t="shared" ref="J131:J194" si="15">IF($B131="Yes",2,1)</f>
        <v>1</v>
      </c>
      <c r="K131" s="1">
        <f t="shared" ref="K131:K194" si="16">IF($D131="Dinner",1,2)</f>
        <v>2</v>
      </c>
      <c r="L131" s="1">
        <f t="shared" si="13"/>
        <v>4</v>
      </c>
      <c r="M131" s="1">
        <v>3</v>
      </c>
      <c r="N131" s="12">
        <v>22.82</v>
      </c>
      <c r="O131" s="12">
        <v>2.1800000000000002</v>
      </c>
      <c r="P131" s="12">
        <f>'Model output'!$B$17+'Model output'!$B$18*tips_table!$I131+'Model output'!$B$19*tips_table!$J131+'Model output'!$B$20*tips_table!$K131+'Model output'!$B$21*tips_table!$L131+'Model output'!$B$22*tips_table!$M131+'Model output'!$B$23*tips_table!$N131</f>
        <v>3.3618140478338088</v>
      </c>
      <c r="Q131" s="8">
        <f t="shared" ref="Q131:Q194" si="17">O131-P131</f>
        <v>-1.1818140478338086</v>
      </c>
      <c r="R131" s="16">
        <f t="shared" ref="R131:R194" si="18">Q131^2</f>
        <v>1.3966844436573316</v>
      </c>
      <c r="W131" s="1">
        <v>0.75944339705833919</v>
      </c>
      <c r="X131" s="1">
        <f>'Model output'!$B$18*tips_table!$I131</f>
        <v>3.7183538040686311E-2</v>
      </c>
      <c r="Y131" s="1">
        <f>'Model output'!$B$20*tips_table!$K131</f>
        <v>0.17745552547297233</v>
      </c>
      <c r="Z131" s="1">
        <f>'Model output'!$B$19*tips_table!$J131</f>
        <v>-7.3687758526173666E-2</v>
      </c>
      <c r="AA131" s="1">
        <f>'Model output'!$B$21*tips_table!$L131</f>
        <v>-0.2139953712402721</v>
      </c>
      <c r="AB131" s="1">
        <f>'Model output'!$B$22*tips_table!$M131</f>
        <v>0.52179934822079044</v>
      </c>
      <c r="AC131" s="1">
        <f>'Model output'!$B$23*tips_table!$N131</f>
        <v>2.1536153688074662</v>
      </c>
      <c r="AD131" s="12">
        <f t="shared" ref="AD131:AD194" si="19">W131+X131+Y131+Z131+AA131+AB131+AC131</f>
        <v>3.3618140478338088</v>
      </c>
    </row>
    <row r="132" spans="1:30" x14ac:dyDescent="0.3">
      <c r="A132" s="1" t="s">
        <v>11</v>
      </c>
      <c r="B132" s="1" t="s">
        <v>8</v>
      </c>
      <c r="C132" s="1" t="s">
        <v>14</v>
      </c>
      <c r="D132" s="1" t="s">
        <v>15</v>
      </c>
      <c r="E132" s="1">
        <v>2</v>
      </c>
      <c r="F132" s="12">
        <v>19.079999999999998</v>
      </c>
      <c r="G132" s="12">
        <v>1.5</v>
      </c>
      <c r="I132" s="1">
        <f t="shared" si="14"/>
        <v>1</v>
      </c>
      <c r="J132" s="1">
        <f t="shared" si="15"/>
        <v>1</v>
      </c>
      <c r="K132" s="1">
        <f t="shared" si="16"/>
        <v>2</v>
      </c>
      <c r="L132" s="1">
        <f t="shared" ref="L132:L195" si="20">IF($C132="Sun",1,IF($C132="fri",2,IF($C132="sat",3,IF($C132="thur",4))))</f>
        <v>4</v>
      </c>
      <c r="M132" s="1">
        <v>2</v>
      </c>
      <c r="N132" s="12">
        <v>19.079999999999998</v>
      </c>
      <c r="O132" s="12">
        <v>1.5</v>
      </c>
      <c r="P132" s="12">
        <f>'Model output'!$B$17+'Model output'!$B$18*tips_table!$I132+'Model output'!$B$19*tips_table!$J132+'Model output'!$B$20*tips_table!$K132+'Model output'!$B$21*tips_table!$L132+'Model output'!$B$22*tips_table!$M132+'Model output'!$B$23*tips_table!$N132</f>
        <v>2.8349220588706441</v>
      </c>
      <c r="Q132" s="8">
        <f t="shared" si="17"/>
        <v>-1.3349220588706441</v>
      </c>
      <c r="R132" s="16">
        <f t="shared" si="18"/>
        <v>1.7820169032594393</v>
      </c>
      <c r="W132" s="1">
        <v>0.75944339705833919</v>
      </c>
      <c r="X132" s="1">
        <f>'Model output'!$B$18*tips_table!$I132</f>
        <v>3.7183538040686311E-2</v>
      </c>
      <c r="Y132" s="1">
        <f>'Model output'!$B$20*tips_table!$K132</f>
        <v>0.17745552547297233</v>
      </c>
      <c r="Z132" s="1">
        <f>'Model output'!$B$19*tips_table!$J132</f>
        <v>-7.3687758526173666E-2</v>
      </c>
      <c r="AA132" s="1">
        <f>'Model output'!$B$21*tips_table!$L132</f>
        <v>-0.2139953712402721</v>
      </c>
      <c r="AB132" s="1">
        <f>'Model output'!$B$22*tips_table!$M132</f>
        <v>0.34786623214719364</v>
      </c>
      <c r="AC132" s="1">
        <f>'Model output'!$B$23*tips_table!$N132</f>
        <v>1.8006564959178986</v>
      </c>
      <c r="AD132" s="12">
        <f t="shared" si="19"/>
        <v>2.8349220588706441</v>
      </c>
    </row>
    <row r="133" spans="1:30" x14ac:dyDescent="0.3">
      <c r="A133" s="1" t="s">
        <v>7</v>
      </c>
      <c r="B133" s="1" t="s">
        <v>8</v>
      </c>
      <c r="C133" s="1" t="s">
        <v>14</v>
      </c>
      <c r="D133" s="1" t="s">
        <v>15</v>
      </c>
      <c r="E133" s="1">
        <v>2</v>
      </c>
      <c r="F133" s="12">
        <v>20.27</v>
      </c>
      <c r="G133" s="12">
        <v>2.83</v>
      </c>
      <c r="I133" s="1">
        <f t="shared" si="14"/>
        <v>2</v>
      </c>
      <c r="J133" s="1">
        <f t="shared" si="15"/>
        <v>1</v>
      </c>
      <c r="K133" s="1">
        <f t="shared" si="16"/>
        <v>2</v>
      </c>
      <c r="L133" s="1">
        <f t="shared" si="20"/>
        <v>4</v>
      </c>
      <c r="M133" s="1">
        <v>2</v>
      </c>
      <c r="N133" s="12">
        <v>20.27</v>
      </c>
      <c r="O133" s="12">
        <v>2.83</v>
      </c>
      <c r="P133" s="12">
        <f>'Model output'!$B$17+'Model output'!$B$18*tips_table!$I133+'Model output'!$B$19*tips_table!$J133+'Model output'!$B$20*tips_table!$K133+'Model output'!$B$21*tips_table!$L133+'Model output'!$B$22*tips_table!$M133+'Model output'!$B$23*tips_table!$N133</f>
        <v>2.9844106928307381</v>
      </c>
      <c r="Q133" s="8">
        <f t="shared" si="17"/>
        <v>-0.15441069283073805</v>
      </c>
      <c r="R133" s="16">
        <f t="shared" si="18"/>
        <v>2.384266206046854E-2</v>
      </c>
      <c r="W133" s="1">
        <v>0.75944339705833919</v>
      </c>
      <c r="X133" s="1">
        <f>'Model output'!$B$18*tips_table!$I133</f>
        <v>7.4367076081372621E-2</v>
      </c>
      <c r="Y133" s="1">
        <f>'Model output'!$B$20*tips_table!$K133</f>
        <v>0.17745552547297233</v>
      </c>
      <c r="Z133" s="1">
        <f>'Model output'!$B$19*tips_table!$J133</f>
        <v>-7.3687758526173666E-2</v>
      </c>
      <c r="AA133" s="1">
        <f>'Model output'!$B$21*tips_table!$L133</f>
        <v>-0.2139953712402721</v>
      </c>
      <c r="AB133" s="1">
        <f>'Model output'!$B$22*tips_table!$M133</f>
        <v>0.34786623214719364</v>
      </c>
      <c r="AC133" s="1">
        <f>'Model output'!$B$23*tips_table!$N133</f>
        <v>1.9129615918373064</v>
      </c>
      <c r="AD133" s="12">
        <f t="shared" si="19"/>
        <v>2.9844106928307381</v>
      </c>
    </row>
    <row r="134" spans="1:30" x14ac:dyDescent="0.3">
      <c r="A134" s="1" t="s">
        <v>7</v>
      </c>
      <c r="B134" s="1" t="s">
        <v>8</v>
      </c>
      <c r="C134" s="1" t="s">
        <v>14</v>
      </c>
      <c r="D134" s="1" t="s">
        <v>15</v>
      </c>
      <c r="E134" s="1">
        <v>2</v>
      </c>
      <c r="F134" s="12">
        <v>11.17</v>
      </c>
      <c r="G134" s="12">
        <v>1.5</v>
      </c>
      <c r="I134" s="1">
        <f t="shared" si="14"/>
        <v>2</v>
      </c>
      <c r="J134" s="1">
        <f t="shared" si="15"/>
        <v>1</v>
      </c>
      <c r="K134" s="1">
        <f t="shared" si="16"/>
        <v>2</v>
      </c>
      <c r="L134" s="1">
        <f t="shared" si="20"/>
        <v>4</v>
      </c>
      <c r="M134" s="1">
        <v>2</v>
      </c>
      <c r="N134" s="12">
        <v>11.17</v>
      </c>
      <c r="O134" s="12">
        <v>1.5</v>
      </c>
      <c r="P134" s="12">
        <f>'Model output'!$B$17+'Model output'!$B$18*tips_table!$I134+'Model output'!$B$19*tips_table!$J134+'Model output'!$B$20*tips_table!$K134+'Model output'!$B$21*tips_table!$L134+'Model output'!$B$22*tips_table!$M134+'Model output'!$B$23*tips_table!$N134</f>
        <v>2.1256070181529143</v>
      </c>
      <c r="Q134" s="8">
        <f t="shared" si="17"/>
        <v>-0.62560701815291431</v>
      </c>
      <c r="R134" s="16">
        <f t="shared" si="18"/>
        <v>0.39138414116218084</v>
      </c>
      <c r="W134" s="1">
        <v>0.75944339705833919</v>
      </c>
      <c r="X134" s="1">
        <f>'Model output'!$B$18*tips_table!$I134</f>
        <v>7.4367076081372621E-2</v>
      </c>
      <c r="Y134" s="1">
        <f>'Model output'!$B$20*tips_table!$K134</f>
        <v>0.17745552547297233</v>
      </c>
      <c r="Z134" s="1">
        <f>'Model output'!$B$19*tips_table!$J134</f>
        <v>-7.3687758526173666E-2</v>
      </c>
      <c r="AA134" s="1">
        <f>'Model output'!$B$21*tips_table!$L134</f>
        <v>-0.2139953712402721</v>
      </c>
      <c r="AB134" s="1">
        <f>'Model output'!$B$22*tips_table!$M134</f>
        <v>0.34786623214719364</v>
      </c>
      <c r="AC134" s="1">
        <f>'Model output'!$B$23*tips_table!$N134</f>
        <v>1.0541579171594826</v>
      </c>
      <c r="AD134" s="12">
        <f t="shared" si="19"/>
        <v>2.1256070181529143</v>
      </c>
    </row>
    <row r="135" spans="1:30" x14ac:dyDescent="0.3">
      <c r="A135" s="1" t="s">
        <v>7</v>
      </c>
      <c r="B135" s="1" t="s">
        <v>8</v>
      </c>
      <c r="C135" s="1" t="s">
        <v>14</v>
      </c>
      <c r="D135" s="1" t="s">
        <v>15</v>
      </c>
      <c r="E135" s="1">
        <v>2</v>
      </c>
      <c r="F135" s="12">
        <v>12.26</v>
      </c>
      <c r="G135" s="12">
        <v>2</v>
      </c>
      <c r="I135" s="1">
        <f t="shared" si="14"/>
        <v>2</v>
      </c>
      <c r="J135" s="1">
        <f t="shared" si="15"/>
        <v>1</v>
      </c>
      <c r="K135" s="1">
        <f t="shared" si="16"/>
        <v>2</v>
      </c>
      <c r="L135" s="1">
        <f t="shared" si="20"/>
        <v>4</v>
      </c>
      <c r="M135" s="1">
        <v>2</v>
      </c>
      <c r="N135" s="12">
        <v>12.26</v>
      </c>
      <c r="O135" s="12">
        <v>2</v>
      </c>
      <c r="P135" s="12">
        <f>'Model output'!$B$17+'Model output'!$B$18*tips_table!$I135+'Model output'!$B$19*tips_table!$J135+'Model output'!$B$20*tips_table!$K135+'Model output'!$B$21*tips_table!$L135+'Model output'!$B$22*tips_table!$M135+'Model output'!$B$23*tips_table!$N135</f>
        <v>2.2284747110538845</v>
      </c>
      <c r="Q135" s="8">
        <f t="shared" si="17"/>
        <v>-0.2284747110538845</v>
      </c>
      <c r="R135" s="16">
        <f t="shared" si="18"/>
        <v>5.2200693591156012E-2</v>
      </c>
      <c r="W135" s="1">
        <v>0.75944339705833919</v>
      </c>
      <c r="X135" s="1">
        <f>'Model output'!$B$18*tips_table!$I135</f>
        <v>7.4367076081372621E-2</v>
      </c>
      <c r="Y135" s="1">
        <f>'Model output'!$B$20*tips_table!$K135</f>
        <v>0.17745552547297233</v>
      </c>
      <c r="Z135" s="1">
        <f>'Model output'!$B$19*tips_table!$J135</f>
        <v>-7.3687758526173666E-2</v>
      </c>
      <c r="AA135" s="1">
        <f>'Model output'!$B$21*tips_table!$L135</f>
        <v>-0.2139953712402721</v>
      </c>
      <c r="AB135" s="1">
        <f>'Model output'!$B$22*tips_table!$M135</f>
        <v>0.34786623214719364</v>
      </c>
      <c r="AC135" s="1">
        <f>'Model output'!$B$23*tips_table!$N135</f>
        <v>1.1570256100604528</v>
      </c>
      <c r="AD135" s="12">
        <f t="shared" si="19"/>
        <v>2.2284747110538845</v>
      </c>
    </row>
    <row r="136" spans="1:30" x14ac:dyDescent="0.3">
      <c r="A136" s="1" t="s">
        <v>7</v>
      </c>
      <c r="B136" s="1" t="s">
        <v>8</v>
      </c>
      <c r="C136" s="1" t="s">
        <v>14</v>
      </c>
      <c r="D136" s="1" t="s">
        <v>15</v>
      </c>
      <c r="E136" s="1">
        <v>2</v>
      </c>
      <c r="F136" s="12">
        <v>18.260000000000002</v>
      </c>
      <c r="G136" s="12">
        <v>3.25</v>
      </c>
      <c r="I136" s="1">
        <f t="shared" si="14"/>
        <v>2</v>
      </c>
      <c r="J136" s="1">
        <f t="shared" si="15"/>
        <v>1</v>
      </c>
      <c r="K136" s="1">
        <f t="shared" si="16"/>
        <v>2</v>
      </c>
      <c r="L136" s="1">
        <f t="shared" si="20"/>
        <v>4</v>
      </c>
      <c r="M136" s="1">
        <v>2</v>
      </c>
      <c r="N136" s="12">
        <v>18.260000000000002</v>
      </c>
      <c r="O136" s="12">
        <v>3.25</v>
      </c>
      <c r="P136" s="12">
        <f>'Model output'!$B$17+'Model output'!$B$18*tips_table!$I136+'Model output'!$B$19*tips_table!$J136+'Model output'!$B$20*tips_table!$K136+'Model output'!$B$21*tips_table!$L136+'Model output'!$B$22*tips_table!$M136+'Model output'!$B$23*tips_table!$N136</f>
        <v>2.7947188921601427</v>
      </c>
      <c r="Q136" s="8">
        <f t="shared" si="17"/>
        <v>0.45528110783985731</v>
      </c>
      <c r="R136" s="16">
        <f t="shared" si="18"/>
        <v>0.20728088715588777</v>
      </c>
      <c r="W136" s="1">
        <v>0.75944339705833919</v>
      </c>
      <c r="X136" s="1">
        <f>'Model output'!$B$18*tips_table!$I136</f>
        <v>7.4367076081372621E-2</v>
      </c>
      <c r="Y136" s="1">
        <f>'Model output'!$B$20*tips_table!$K136</f>
        <v>0.17745552547297233</v>
      </c>
      <c r="Z136" s="1">
        <f>'Model output'!$B$19*tips_table!$J136</f>
        <v>-7.3687758526173666E-2</v>
      </c>
      <c r="AA136" s="1">
        <f>'Model output'!$B$21*tips_table!$L136</f>
        <v>-0.2139953712402721</v>
      </c>
      <c r="AB136" s="1">
        <f>'Model output'!$B$22*tips_table!$M136</f>
        <v>0.34786623214719364</v>
      </c>
      <c r="AC136" s="1">
        <f>'Model output'!$B$23*tips_table!$N136</f>
        <v>1.7232697911667105</v>
      </c>
      <c r="AD136" s="12">
        <f t="shared" si="19"/>
        <v>2.7947188921601427</v>
      </c>
    </row>
    <row r="137" spans="1:30" x14ac:dyDescent="0.3">
      <c r="A137" s="1" t="s">
        <v>7</v>
      </c>
      <c r="B137" s="1" t="s">
        <v>8</v>
      </c>
      <c r="C137" s="1" t="s">
        <v>14</v>
      </c>
      <c r="D137" s="1" t="s">
        <v>15</v>
      </c>
      <c r="E137" s="1">
        <v>2</v>
      </c>
      <c r="F137" s="12">
        <v>8.51</v>
      </c>
      <c r="G137" s="12">
        <v>1.25</v>
      </c>
      <c r="I137" s="1">
        <f t="shared" si="14"/>
        <v>2</v>
      </c>
      <c r="J137" s="1">
        <f t="shared" si="15"/>
        <v>1</v>
      </c>
      <c r="K137" s="1">
        <f t="shared" si="16"/>
        <v>2</v>
      </c>
      <c r="L137" s="1">
        <f t="shared" si="20"/>
        <v>4</v>
      </c>
      <c r="M137" s="1">
        <v>2</v>
      </c>
      <c r="N137" s="12">
        <v>8.51</v>
      </c>
      <c r="O137" s="12">
        <v>1.25</v>
      </c>
      <c r="P137" s="12">
        <f>'Model output'!$B$17+'Model output'!$B$18*tips_table!$I137+'Model output'!$B$19*tips_table!$J137+'Model output'!$B$20*tips_table!$K137+'Model output'!$B$21*tips_table!$L137+'Model output'!$B$22*tips_table!$M137+'Model output'!$B$23*tips_table!$N137</f>
        <v>1.8745720978624738</v>
      </c>
      <c r="Q137" s="8">
        <f t="shared" si="17"/>
        <v>-0.62457209786247381</v>
      </c>
      <c r="R137" s="16">
        <f t="shared" si="18"/>
        <v>0.39009030542833156</v>
      </c>
      <c r="W137" s="1">
        <v>0.75944339705833919</v>
      </c>
      <c r="X137" s="1">
        <f>'Model output'!$B$18*tips_table!$I137</f>
        <v>7.4367076081372621E-2</v>
      </c>
      <c r="Y137" s="1">
        <f>'Model output'!$B$20*tips_table!$K137</f>
        <v>0.17745552547297233</v>
      </c>
      <c r="Z137" s="1">
        <f>'Model output'!$B$19*tips_table!$J137</f>
        <v>-7.3687758526173666E-2</v>
      </c>
      <c r="AA137" s="1">
        <f>'Model output'!$B$21*tips_table!$L137</f>
        <v>-0.2139953712402721</v>
      </c>
      <c r="AB137" s="1">
        <f>'Model output'!$B$22*tips_table!$M137</f>
        <v>0.34786623214719364</v>
      </c>
      <c r="AC137" s="1">
        <f>'Model output'!$B$23*tips_table!$N137</f>
        <v>0.80312299686904187</v>
      </c>
      <c r="AD137" s="12">
        <f t="shared" si="19"/>
        <v>1.8745720978624738</v>
      </c>
    </row>
    <row r="138" spans="1:30" x14ac:dyDescent="0.3">
      <c r="A138" s="1" t="s">
        <v>7</v>
      </c>
      <c r="B138" s="1" t="s">
        <v>8</v>
      </c>
      <c r="C138" s="1" t="s">
        <v>14</v>
      </c>
      <c r="D138" s="1" t="s">
        <v>15</v>
      </c>
      <c r="E138" s="1">
        <v>2</v>
      </c>
      <c r="F138" s="12">
        <v>10.33</v>
      </c>
      <c r="G138" s="12">
        <v>2</v>
      </c>
      <c r="I138" s="1">
        <f t="shared" si="14"/>
        <v>2</v>
      </c>
      <c r="J138" s="1">
        <f t="shared" si="15"/>
        <v>1</v>
      </c>
      <c r="K138" s="1">
        <f t="shared" si="16"/>
        <v>2</v>
      </c>
      <c r="L138" s="1">
        <f t="shared" si="20"/>
        <v>4</v>
      </c>
      <c r="M138" s="1">
        <v>2</v>
      </c>
      <c r="N138" s="12">
        <v>10.33</v>
      </c>
      <c r="O138" s="12">
        <v>2</v>
      </c>
      <c r="P138" s="12">
        <f>'Model output'!$B$17+'Model output'!$B$18*tips_table!$I138+'Model output'!$B$19*tips_table!$J138+'Model output'!$B$20*tips_table!$K138+'Model output'!$B$21*tips_table!$L138+'Model output'!$B$22*tips_table!$M138+'Model output'!$B$23*tips_table!$N138</f>
        <v>2.0463328327980386</v>
      </c>
      <c r="Q138" s="8">
        <f t="shared" si="17"/>
        <v>-4.633283279803857E-2</v>
      </c>
      <c r="R138" s="16">
        <f t="shared" si="18"/>
        <v>2.1467313950909988E-3</v>
      </c>
      <c r="W138" s="1">
        <v>0.75944339705833919</v>
      </c>
      <c r="X138" s="1">
        <f>'Model output'!$B$18*tips_table!$I138</f>
        <v>7.4367076081372621E-2</v>
      </c>
      <c r="Y138" s="1">
        <f>'Model output'!$B$20*tips_table!$K138</f>
        <v>0.17745552547297233</v>
      </c>
      <c r="Z138" s="1">
        <f>'Model output'!$B$19*tips_table!$J138</f>
        <v>-7.3687758526173666E-2</v>
      </c>
      <c r="AA138" s="1">
        <f>'Model output'!$B$21*tips_table!$L138</f>
        <v>-0.2139953712402721</v>
      </c>
      <c r="AB138" s="1">
        <f>'Model output'!$B$22*tips_table!$M138</f>
        <v>0.34786623214719364</v>
      </c>
      <c r="AC138" s="1">
        <f>'Model output'!$B$23*tips_table!$N138</f>
        <v>0.97488373180460663</v>
      </c>
      <c r="AD138" s="12">
        <f t="shared" si="19"/>
        <v>2.0463328327980386</v>
      </c>
    </row>
    <row r="139" spans="1:30" x14ac:dyDescent="0.3">
      <c r="A139" s="1" t="s">
        <v>7</v>
      </c>
      <c r="B139" s="1" t="s">
        <v>8</v>
      </c>
      <c r="C139" s="1" t="s">
        <v>14</v>
      </c>
      <c r="D139" s="1" t="s">
        <v>15</v>
      </c>
      <c r="E139" s="1">
        <v>2</v>
      </c>
      <c r="F139" s="12">
        <v>14.15</v>
      </c>
      <c r="G139" s="12">
        <v>2</v>
      </c>
      <c r="I139" s="1">
        <f t="shared" si="14"/>
        <v>2</v>
      </c>
      <c r="J139" s="1">
        <f t="shared" si="15"/>
        <v>1</v>
      </c>
      <c r="K139" s="1">
        <f t="shared" si="16"/>
        <v>2</v>
      </c>
      <c r="L139" s="1">
        <f t="shared" si="20"/>
        <v>4</v>
      </c>
      <c r="M139" s="1">
        <v>2</v>
      </c>
      <c r="N139" s="12">
        <v>14.15</v>
      </c>
      <c r="O139" s="12">
        <v>2</v>
      </c>
      <c r="P139" s="12">
        <f>'Model output'!$B$17+'Model output'!$B$18*tips_table!$I139+'Model output'!$B$19*tips_table!$J139+'Model output'!$B$20*tips_table!$K139+'Model output'!$B$21*tips_table!$L139+'Model output'!$B$22*tips_table!$M139+'Model output'!$B$23*tips_table!$N139</f>
        <v>2.4068416281023559</v>
      </c>
      <c r="Q139" s="8">
        <f t="shared" si="17"/>
        <v>-0.40684162810235591</v>
      </c>
      <c r="R139" s="16">
        <f t="shared" si="18"/>
        <v>0.16552011035697567</v>
      </c>
      <c r="W139" s="1">
        <v>0.75944339705833919</v>
      </c>
      <c r="X139" s="1">
        <f>'Model output'!$B$18*tips_table!$I139</f>
        <v>7.4367076081372621E-2</v>
      </c>
      <c r="Y139" s="1">
        <f>'Model output'!$B$20*tips_table!$K139</f>
        <v>0.17745552547297233</v>
      </c>
      <c r="Z139" s="1">
        <f>'Model output'!$B$19*tips_table!$J139</f>
        <v>-7.3687758526173666E-2</v>
      </c>
      <c r="AA139" s="1">
        <f>'Model output'!$B$21*tips_table!$L139</f>
        <v>-0.2139953712402721</v>
      </c>
      <c r="AB139" s="1">
        <f>'Model output'!$B$22*tips_table!$M139</f>
        <v>0.34786623214719364</v>
      </c>
      <c r="AC139" s="1">
        <f>'Model output'!$B$23*tips_table!$N139</f>
        <v>1.335392527108924</v>
      </c>
      <c r="AD139" s="12">
        <f t="shared" si="19"/>
        <v>2.4068416281023559</v>
      </c>
    </row>
    <row r="140" spans="1:30" x14ac:dyDescent="0.3">
      <c r="A140" s="1" t="s">
        <v>11</v>
      </c>
      <c r="B140" s="1" t="s">
        <v>13</v>
      </c>
      <c r="C140" s="1" t="s">
        <v>14</v>
      </c>
      <c r="D140" s="1" t="s">
        <v>15</v>
      </c>
      <c r="E140" s="1">
        <v>2</v>
      </c>
      <c r="F140" s="12">
        <v>16</v>
      </c>
      <c r="G140" s="12">
        <v>2</v>
      </c>
      <c r="I140" s="1">
        <f t="shared" si="14"/>
        <v>1</v>
      </c>
      <c r="J140" s="1">
        <f t="shared" si="15"/>
        <v>2</v>
      </c>
      <c r="K140" s="1">
        <f t="shared" si="16"/>
        <v>2</v>
      </c>
      <c r="L140" s="1">
        <f t="shared" si="20"/>
        <v>4</v>
      </c>
      <c r="M140" s="1">
        <v>2</v>
      </c>
      <c r="N140" s="12">
        <v>16</v>
      </c>
      <c r="O140" s="12">
        <v>2</v>
      </c>
      <c r="P140" s="12">
        <f>'Model output'!$B$17+'Model output'!$B$18*tips_table!$I140+'Model output'!$B$19*tips_table!$J140+'Model output'!$B$20*tips_table!$K140+'Model output'!$B$21*tips_table!$L140+'Model output'!$B$22*tips_table!$M140+'Model output'!$B$23*tips_table!$N140</f>
        <v>2.470562287376592</v>
      </c>
      <c r="Q140" s="8">
        <f t="shared" si="17"/>
        <v>-0.470562287376592</v>
      </c>
      <c r="R140" s="16">
        <f t="shared" si="18"/>
        <v>0.22142886630109035</v>
      </c>
      <c r="W140" s="1">
        <v>0.75944339705833919</v>
      </c>
      <c r="X140" s="1">
        <f>'Model output'!$B$18*tips_table!$I140</f>
        <v>3.7183538040686311E-2</v>
      </c>
      <c r="Y140" s="1">
        <f>'Model output'!$B$20*tips_table!$K140</f>
        <v>0.17745552547297233</v>
      </c>
      <c r="Z140" s="1">
        <f>'Model output'!$B$19*tips_table!$J140</f>
        <v>-0.14737551705234733</v>
      </c>
      <c r="AA140" s="1">
        <f>'Model output'!$B$21*tips_table!$L140</f>
        <v>-0.2139953712402721</v>
      </c>
      <c r="AB140" s="1">
        <f>'Model output'!$B$22*tips_table!$M140</f>
        <v>0.34786623214719364</v>
      </c>
      <c r="AC140" s="1">
        <f>'Model output'!$B$23*tips_table!$N140</f>
        <v>1.50998448295002</v>
      </c>
      <c r="AD140" s="12">
        <f t="shared" si="19"/>
        <v>2.470562287376592</v>
      </c>
    </row>
    <row r="141" spans="1:30" x14ac:dyDescent="0.3">
      <c r="A141" s="1" t="s">
        <v>7</v>
      </c>
      <c r="B141" s="1" t="s">
        <v>8</v>
      </c>
      <c r="C141" s="1" t="s">
        <v>14</v>
      </c>
      <c r="D141" s="1" t="s">
        <v>15</v>
      </c>
      <c r="E141" s="1">
        <v>2</v>
      </c>
      <c r="F141" s="12">
        <v>13.16</v>
      </c>
      <c r="G141" s="12">
        <v>2.75</v>
      </c>
      <c r="I141" s="1">
        <f t="shared" si="14"/>
        <v>2</v>
      </c>
      <c r="J141" s="1">
        <f t="shared" si="15"/>
        <v>1</v>
      </c>
      <c r="K141" s="1">
        <f t="shared" si="16"/>
        <v>2</v>
      </c>
      <c r="L141" s="1">
        <f t="shared" si="20"/>
        <v>4</v>
      </c>
      <c r="M141" s="1">
        <v>2</v>
      </c>
      <c r="N141" s="12">
        <v>13.16</v>
      </c>
      <c r="O141" s="12">
        <v>2.75</v>
      </c>
      <c r="P141" s="12">
        <f>'Model output'!$B$17+'Model output'!$B$18*tips_table!$I141+'Model output'!$B$19*tips_table!$J141+'Model output'!$B$20*tips_table!$K141+'Model output'!$B$21*tips_table!$L141+'Model output'!$B$22*tips_table!$M141+'Model output'!$B$23*tips_table!$N141</f>
        <v>2.3134113382198231</v>
      </c>
      <c r="Q141" s="8">
        <f t="shared" si="17"/>
        <v>0.43658866178017686</v>
      </c>
      <c r="R141" s="16">
        <f t="shared" si="18"/>
        <v>0.19060965959500567</v>
      </c>
      <c r="W141" s="1">
        <v>0.75944339705833919</v>
      </c>
      <c r="X141" s="1">
        <f>'Model output'!$B$18*tips_table!$I141</f>
        <v>7.4367076081372621E-2</v>
      </c>
      <c r="Y141" s="1">
        <f>'Model output'!$B$20*tips_table!$K141</f>
        <v>0.17745552547297233</v>
      </c>
      <c r="Z141" s="1">
        <f>'Model output'!$B$19*tips_table!$J141</f>
        <v>-7.3687758526173666E-2</v>
      </c>
      <c r="AA141" s="1">
        <f>'Model output'!$B$21*tips_table!$L141</f>
        <v>-0.2139953712402721</v>
      </c>
      <c r="AB141" s="1">
        <f>'Model output'!$B$22*tips_table!$M141</f>
        <v>0.34786623214719364</v>
      </c>
      <c r="AC141" s="1">
        <f>'Model output'!$B$23*tips_table!$N141</f>
        <v>1.2419622372263914</v>
      </c>
      <c r="AD141" s="12">
        <f t="shared" si="19"/>
        <v>2.3134113382198231</v>
      </c>
    </row>
    <row r="142" spans="1:30" x14ac:dyDescent="0.3">
      <c r="A142" s="1" t="s">
        <v>7</v>
      </c>
      <c r="B142" s="1" t="s">
        <v>8</v>
      </c>
      <c r="C142" s="1" t="s">
        <v>14</v>
      </c>
      <c r="D142" s="1" t="s">
        <v>15</v>
      </c>
      <c r="E142" s="1">
        <v>2</v>
      </c>
      <c r="F142" s="12">
        <v>17.47</v>
      </c>
      <c r="G142" s="12">
        <v>3.5</v>
      </c>
      <c r="I142" s="1">
        <f t="shared" si="14"/>
        <v>2</v>
      </c>
      <c r="J142" s="1">
        <f t="shared" si="15"/>
        <v>1</v>
      </c>
      <c r="K142" s="1">
        <f t="shared" si="16"/>
        <v>2</v>
      </c>
      <c r="L142" s="1">
        <f t="shared" si="20"/>
        <v>4</v>
      </c>
      <c r="M142" s="1">
        <v>2</v>
      </c>
      <c r="N142" s="12">
        <v>17.47</v>
      </c>
      <c r="O142" s="12">
        <v>3.5</v>
      </c>
      <c r="P142" s="12">
        <f>'Model output'!$B$17+'Model output'!$B$18*tips_table!$I142+'Model output'!$B$19*tips_table!$J142+'Model output'!$B$20*tips_table!$K142+'Model output'!$B$21*tips_table!$L142+'Model output'!$B$22*tips_table!$M142+'Model output'!$B$23*tips_table!$N142</f>
        <v>2.7201634083144848</v>
      </c>
      <c r="Q142" s="8">
        <f t="shared" si="17"/>
        <v>0.77983659168551522</v>
      </c>
      <c r="R142" s="16">
        <f t="shared" si="18"/>
        <v>0.60814510973168101</v>
      </c>
      <c r="W142" s="1">
        <v>0.75944339705833919</v>
      </c>
      <c r="X142" s="1">
        <f>'Model output'!$B$18*tips_table!$I142</f>
        <v>7.4367076081372621E-2</v>
      </c>
      <c r="Y142" s="1">
        <f>'Model output'!$B$20*tips_table!$K142</f>
        <v>0.17745552547297233</v>
      </c>
      <c r="Z142" s="1">
        <f>'Model output'!$B$19*tips_table!$J142</f>
        <v>-7.3687758526173666E-2</v>
      </c>
      <c r="AA142" s="1">
        <f>'Model output'!$B$21*tips_table!$L142</f>
        <v>-0.2139953712402721</v>
      </c>
      <c r="AB142" s="1">
        <f>'Model output'!$B$22*tips_table!$M142</f>
        <v>0.34786623214719364</v>
      </c>
      <c r="AC142" s="1">
        <f>'Model output'!$B$23*tips_table!$N142</f>
        <v>1.6487143073210528</v>
      </c>
      <c r="AD142" s="12">
        <f t="shared" si="19"/>
        <v>2.7201634083144848</v>
      </c>
    </row>
    <row r="143" spans="1:30" x14ac:dyDescent="0.3">
      <c r="A143" s="1" t="s">
        <v>11</v>
      </c>
      <c r="B143" s="1" t="s">
        <v>8</v>
      </c>
      <c r="C143" s="1" t="s">
        <v>14</v>
      </c>
      <c r="D143" s="1" t="s">
        <v>15</v>
      </c>
      <c r="E143" s="1">
        <v>6</v>
      </c>
      <c r="F143" s="12">
        <v>34.299999999999997</v>
      </c>
      <c r="G143" s="12">
        <v>6.7</v>
      </c>
      <c r="I143" s="1">
        <f t="shared" si="14"/>
        <v>1</v>
      </c>
      <c r="J143" s="1">
        <f t="shared" si="15"/>
        <v>1</v>
      </c>
      <c r="K143" s="1">
        <f t="shared" si="16"/>
        <v>2</v>
      </c>
      <c r="L143" s="1">
        <f t="shared" si="20"/>
        <v>4</v>
      </c>
      <c r="M143" s="1">
        <v>6</v>
      </c>
      <c r="N143" s="12">
        <v>34.299999999999997</v>
      </c>
      <c r="O143" s="12">
        <v>6.7</v>
      </c>
      <c r="P143" s="12">
        <f>'Model output'!$B$17+'Model output'!$B$18*tips_table!$I143+'Model output'!$B$19*tips_table!$J143+'Model output'!$B$20*tips_table!$K143+'Model output'!$B$21*tips_table!$L143+'Model output'!$B$22*tips_table!$M143+'Model output'!$B$23*tips_table!$N143</f>
        <v>4.9670272625712375</v>
      </c>
      <c r="Q143" s="8">
        <f t="shared" si="17"/>
        <v>1.7329727374287627</v>
      </c>
      <c r="R143" s="16">
        <f t="shared" si="18"/>
        <v>3.0031945086713394</v>
      </c>
      <c r="W143" s="1">
        <v>0.75944339705833919</v>
      </c>
      <c r="X143" s="1">
        <f>'Model output'!$B$18*tips_table!$I143</f>
        <v>3.7183538040686311E-2</v>
      </c>
      <c r="Y143" s="1">
        <f>'Model output'!$B$20*tips_table!$K143</f>
        <v>0.17745552547297233</v>
      </c>
      <c r="Z143" s="1">
        <f>'Model output'!$B$19*tips_table!$J143</f>
        <v>-7.3687758526173666E-2</v>
      </c>
      <c r="AA143" s="1">
        <f>'Model output'!$B$21*tips_table!$L143</f>
        <v>-0.2139953712402721</v>
      </c>
      <c r="AB143" s="1">
        <f>'Model output'!$B$22*tips_table!$M143</f>
        <v>1.0435986964415809</v>
      </c>
      <c r="AC143" s="1">
        <f>'Model output'!$B$23*tips_table!$N143</f>
        <v>3.2370292353241052</v>
      </c>
      <c r="AD143" s="12">
        <f t="shared" si="19"/>
        <v>4.9670272625712375</v>
      </c>
    </row>
    <row r="144" spans="1:30" x14ac:dyDescent="0.3">
      <c r="A144" s="1" t="s">
        <v>11</v>
      </c>
      <c r="B144" s="1" t="s">
        <v>8</v>
      </c>
      <c r="C144" s="1" t="s">
        <v>14</v>
      </c>
      <c r="D144" s="1" t="s">
        <v>15</v>
      </c>
      <c r="E144" s="1">
        <v>5</v>
      </c>
      <c r="F144" s="12">
        <v>41.19</v>
      </c>
      <c r="G144" s="12">
        <v>5</v>
      </c>
      <c r="I144" s="1">
        <f t="shared" si="14"/>
        <v>1</v>
      </c>
      <c r="J144" s="1">
        <f t="shared" si="15"/>
        <v>1</v>
      </c>
      <c r="K144" s="1">
        <f t="shared" si="16"/>
        <v>2</v>
      </c>
      <c r="L144" s="1">
        <f t="shared" si="20"/>
        <v>4</v>
      </c>
      <c r="M144" s="1">
        <v>5</v>
      </c>
      <c r="N144" s="12">
        <v>41.19</v>
      </c>
      <c r="O144" s="12">
        <v>5</v>
      </c>
      <c r="P144" s="12">
        <f>'Model output'!$B$17+'Model output'!$B$18*tips_table!$I144+'Model output'!$B$19*tips_table!$J144+'Model output'!$B$20*tips_table!$K144+'Model output'!$B$21*tips_table!$L144+'Model output'!$B$22*tips_table!$M144+'Model output'!$B$23*tips_table!$N144</f>
        <v>5.4433312144679933</v>
      </c>
      <c r="Q144" s="8">
        <f t="shared" si="17"/>
        <v>-0.44333121446799328</v>
      </c>
      <c r="R144" s="16">
        <f t="shared" si="18"/>
        <v>0.19654256572166587</v>
      </c>
      <c r="W144" s="1">
        <v>0.75944339705833919</v>
      </c>
      <c r="X144" s="1">
        <f>'Model output'!$B$18*tips_table!$I144</f>
        <v>3.7183538040686311E-2</v>
      </c>
      <c r="Y144" s="1">
        <f>'Model output'!$B$20*tips_table!$K144</f>
        <v>0.17745552547297233</v>
      </c>
      <c r="Z144" s="1">
        <f>'Model output'!$B$19*tips_table!$J144</f>
        <v>-7.3687758526173666E-2</v>
      </c>
      <c r="AA144" s="1">
        <f>'Model output'!$B$21*tips_table!$L144</f>
        <v>-0.2139953712402721</v>
      </c>
      <c r="AB144" s="1">
        <f>'Model output'!$B$22*tips_table!$M144</f>
        <v>0.86966558036798414</v>
      </c>
      <c r="AC144" s="1">
        <f>'Model output'!$B$23*tips_table!$N144</f>
        <v>3.8872663032944574</v>
      </c>
      <c r="AD144" s="12">
        <f t="shared" si="19"/>
        <v>5.4433312144679933</v>
      </c>
    </row>
    <row r="145" spans="1:30" x14ac:dyDescent="0.3">
      <c r="A145" s="1" t="s">
        <v>7</v>
      </c>
      <c r="B145" s="1" t="s">
        <v>8</v>
      </c>
      <c r="C145" s="1" t="s">
        <v>14</v>
      </c>
      <c r="D145" s="1" t="s">
        <v>15</v>
      </c>
      <c r="E145" s="1">
        <v>6</v>
      </c>
      <c r="F145" s="12">
        <v>27.05</v>
      </c>
      <c r="G145" s="12">
        <v>5</v>
      </c>
      <c r="I145" s="1">
        <f t="shared" si="14"/>
        <v>2</v>
      </c>
      <c r="J145" s="1">
        <f t="shared" si="15"/>
        <v>1</v>
      </c>
      <c r="K145" s="1">
        <f t="shared" si="16"/>
        <v>2</v>
      </c>
      <c r="L145" s="1">
        <f t="shared" si="20"/>
        <v>4</v>
      </c>
      <c r="M145" s="1">
        <v>6</v>
      </c>
      <c r="N145" s="12">
        <v>27.05</v>
      </c>
      <c r="O145" s="12">
        <v>5</v>
      </c>
      <c r="P145" s="12">
        <f>'Model output'!$B$17+'Model output'!$B$18*tips_table!$I145+'Model output'!$B$19*tips_table!$J145+'Model output'!$B$20*tips_table!$K145+'Model output'!$B$21*tips_table!$L145+'Model output'!$B$22*tips_table!$M145+'Model output'!$B$23*tips_table!$N145</f>
        <v>4.3199990817751965</v>
      </c>
      <c r="Q145" s="8">
        <f t="shared" si="17"/>
        <v>0.68000091822480346</v>
      </c>
      <c r="R145" s="16">
        <f t="shared" si="18"/>
        <v>0.46240124878657585</v>
      </c>
      <c r="W145" s="1">
        <v>0.75944339705833919</v>
      </c>
      <c r="X145" s="1">
        <f>'Model output'!$B$18*tips_table!$I145</f>
        <v>7.4367076081372621E-2</v>
      </c>
      <c r="Y145" s="1">
        <f>'Model output'!$B$20*tips_table!$K145</f>
        <v>0.17745552547297233</v>
      </c>
      <c r="Z145" s="1">
        <f>'Model output'!$B$19*tips_table!$J145</f>
        <v>-7.3687758526173666E-2</v>
      </c>
      <c r="AA145" s="1">
        <f>'Model output'!$B$21*tips_table!$L145</f>
        <v>-0.2139953712402721</v>
      </c>
      <c r="AB145" s="1">
        <f>'Model output'!$B$22*tips_table!$M145</f>
        <v>1.0435986964415809</v>
      </c>
      <c r="AC145" s="1">
        <f>'Model output'!$B$23*tips_table!$N145</f>
        <v>2.5528175164873774</v>
      </c>
      <c r="AD145" s="12">
        <f t="shared" si="19"/>
        <v>4.3199990817751965</v>
      </c>
    </row>
    <row r="146" spans="1:30" x14ac:dyDescent="0.3">
      <c r="A146" s="1" t="s">
        <v>7</v>
      </c>
      <c r="B146" s="1" t="s">
        <v>8</v>
      </c>
      <c r="C146" s="1" t="s">
        <v>14</v>
      </c>
      <c r="D146" s="1" t="s">
        <v>15</v>
      </c>
      <c r="E146" s="1">
        <v>2</v>
      </c>
      <c r="F146" s="12">
        <v>16.43</v>
      </c>
      <c r="G146" s="12">
        <v>2.2999999999999998</v>
      </c>
      <c r="I146" s="1">
        <f t="shared" si="14"/>
        <v>2</v>
      </c>
      <c r="J146" s="1">
        <f t="shared" si="15"/>
        <v>1</v>
      </c>
      <c r="K146" s="1">
        <f t="shared" si="16"/>
        <v>2</v>
      </c>
      <c r="L146" s="1">
        <f t="shared" si="20"/>
        <v>4</v>
      </c>
      <c r="M146" s="1">
        <v>2</v>
      </c>
      <c r="N146" s="12">
        <v>16.43</v>
      </c>
      <c r="O146" s="12">
        <v>2.2999999999999998</v>
      </c>
      <c r="P146" s="12">
        <f>'Model output'!$B$17+'Model output'!$B$18*tips_table!$I146+'Model output'!$B$19*tips_table!$J146+'Model output'!$B$20*tips_table!$K146+'Model output'!$B$21*tips_table!$L146+'Model output'!$B$22*tips_table!$M146+'Model output'!$B$23*tips_table!$N146</f>
        <v>2.6220144169227337</v>
      </c>
      <c r="Q146" s="8">
        <f t="shared" si="17"/>
        <v>-0.32201441692273391</v>
      </c>
      <c r="R146" s="16">
        <f t="shared" si="18"/>
        <v>0.1036932847060883</v>
      </c>
      <c r="W146" s="1">
        <v>0.75944339705833919</v>
      </c>
      <c r="X146" s="1">
        <f>'Model output'!$B$18*tips_table!$I146</f>
        <v>7.4367076081372621E-2</v>
      </c>
      <c r="Y146" s="1">
        <f>'Model output'!$B$20*tips_table!$K146</f>
        <v>0.17745552547297233</v>
      </c>
      <c r="Z146" s="1">
        <f>'Model output'!$B$19*tips_table!$J146</f>
        <v>-7.3687758526173666E-2</v>
      </c>
      <c r="AA146" s="1">
        <f>'Model output'!$B$21*tips_table!$L146</f>
        <v>-0.2139953712402721</v>
      </c>
      <c r="AB146" s="1">
        <f>'Model output'!$B$22*tips_table!$M146</f>
        <v>0.34786623214719364</v>
      </c>
      <c r="AC146" s="1">
        <f>'Model output'!$B$23*tips_table!$N146</f>
        <v>1.5505653159293018</v>
      </c>
      <c r="AD146" s="12">
        <f t="shared" si="19"/>
        <v>2.6220144169227337</v>
      </c>
    </row>
    <row r="147" spans="1:30" x14ac:dyDescent="0.3">
      <c r="A147" s="1" t="s">
        <v>7</v>
      </c>
      <c r="B147" s="1" t="s">
        <v>8</v>
      </c>
      <c r="C147" s="1" t="s">
        <v>14</v>
      </c>
      <c r="D147" s="1" t="s">
        <v>15</v>
      </c>
      <c r="E147" s="1">
        <v>2</v>
      </c>
      <c r="F147" s="12">
        <v>8.35</v>
      </c>
      <c r="G147" s="12">
        <v>1.5</v>
      </c>
      <c r="I147" s="1">
        <f t="shared" si="14"/>
        <v>2</v>
      </c>
      <c r="J147" s="1">
        <f t="shared" si="15"/>
        <v>1</v>
      </c>
      <c r="K147" s="1">
        <f t="shared" si="16"/>
        <v>2</v>
      </c>
      <c r="L147" s="1">
        <f t="shared" si="20"/>
        <v>4</v>
      </c>
      <c r="M147" s="1">
        <v>2</v>
      </c>
      <c r="N147" s="12">
        <v>8.35</v>
      </c>
      <c r="O147" s="12">
        <v>1.5</v>
      </c>
      <c r="P147" s="12">
        <f>'Model output'!$B$17+'Model output'!$B$18*tips_table!$I147+'Model output'!$B$19*tips_table!$J147+'Model output'!$B$20*tips_table!$K147+'Model output'!$B$21*tips_table!$L147+'Model output'!$B$22*tips_table!$M147+'Model output'!$B$23*tips_table!$N147</f>
        <v>1.8594722530329735</v>
      </c>
      <c r="Q147" s="8">
        <f t="shared" si="17"/>
        <v>-0.35947225303297348</v>
      </c>
      <c r="R147" s="16">
        <f t="shared" si="18"/>
        <v>0.12922030070060211</v>
      </c>
      <c r="W147" s="1">
        <v>0.75944339705833919</v>
      </c>
      <c r="X147" s="1">
        <f>'Model output'!$B$18*tips_table!$I147</f>
        <v>7.4367076081372621E-2</v>
      </c>
      <c r="Y147" s="1">
        <f>'Model output'!$B$20*tips_table!$K147</f>
        <v>0.17745552547297233</v>
      </c>
      <c r="Z147" s="1">
        <f>'Model output'!$B$19*tips_table!$J147</f>
        <v>-7.3687758526173666E-2</v>
      </c>
      <c r="AA147" s="1">
        <f>'Model output'!$B$21*tips_table!$L147</f>
        <v>-0.2139953712402721</v>
      </c>
      <c r="AB147" s="1">
        <f>'Model output'!$B$22*tips_table!$M147</f>
        <v>0.34786623214719364</v>
      </c>
      <c r="AC147" s="1">
        <f>'Model output'!$B$23*tips_table!$N147</f>
        <v>0.78802315203954165</v>
      </c>
      <c r="AD147" s="12">
        <f t="shared" si="19"/>
        <v>1.8594722530329735</v>
      </c>
    </row>
    <row r="148" spans="1:30" x14ac:dyDescent="0.3">
      <c r="A148" s="1" t="s">
        <v>7</v>
      </c>
      <c r="B148" s="1" t="s">
        <v>8</v>
      </c>
      <c r="C148" s="1" t="s">
        <v>14</v>
      </c>
      <c r="D148" s="1" t="s">
        <v>15</v>
      </c>
      <c r="E148" s="1">
        <v>3</v>
      </c>
      <c r="F148" s="12">
        <v>18.64</v>
      </c>
      <c r="G148" s="12">
        <v>1.36</v>
      </c>
      <c r="I148" s="1">
        <f t="shared" si="14"/>
        <v>2</v>
      </c>
      <c r="J148" s="1">
        <f t="shared" si="15"/>
        <v>1</v>
      </c>
      <c r="K148" s="1">
        <f t="shared" si="16"/>
        <v>2</v>
      </c>
      <c r="L148" s="1">
        <f t="shared" si="20"/>
        <v>4</v>
      </c>
      <c r="M148" s="1">
        <v>3</v>
      </c>
      <c r="N148" s="12">
        <v>18.64</v>
      </c>
      <c r="O148" s="12">
        <v>1.36</v>
      </c>
      <c r="P148" s="12">
        <f>'Model output'!$B$17+'Model output'!$B$18*tips_table!$I148+'Model output'!$B$19*tips_table!$J148+'Model output'!$B$20*tips_table!$K148+'Model output'!$B$21*tips_table!$L148+'Model output'!$B$22*tips_table!$M148+'Model output'!$B$23*tips_table!$N148</f>
        <v>3.0045141397038022</v>
      </c>
      <c r="Q148" s="8">
        <f t="shared" si="17"/>
        <v>-1.6445141397038021</v>
      </c>
      <c r="R148" s="16">
        <f t="shared" si="18"/>
        <v>2.7044267556857364</v>
      </c>
      <c r="W148" s="1">
        <v>0.75944339705833919</v>
      </c>
      <c r="X148" s="1">
        <f>'Model output'!$B$18*tips_table!$I148</f>
        <v>7.4367076081372621E-2</v>
      </c>
      <c r="Y148" s="1">
        <f>'Model output'!$B$20*tips_table!$K148</f>
        <v>0.17745552547297233</v>
      </c>
      <c r="Z148" s="1">
        <f>'Model output'!$B$19*tips_table!$J148</f>
        <v>-7.3687758526173666E-2</v>
      </c>
      <c r="AA148" s="1">
        <f>'Model output'!$B$21*tips_table!$L148</f>
        <v>-0.2139953712402721</v>
      </c>
      <c r="AB148" s="1">
        <f>'Model output'!$B$22*tips_table!$M148</f>
        <v>0.52179934822079044</v>
      </c>
      <c r="AC148" s="1">
        <f>'Model output'!$B$23*tips_table!$N148</f>
        <v>1.7591319226367734</v>
      </c>
      <c r="AD148" s="12">
        <f t="shared" si="19"/>
        <v>3.0045141397038022</v>
      </c>
    </row>
    <row r="149" spans="1:30" x14ac:dyDescent="0.3">
      <c r="A149" s="1" t="s">
        <v>7</v>
      </c>
      <c r="B149" s="1" t="s">
        <v>8</v>
      </c>
      <c r="C149" s="1" t="s">
        <v>14</v>
      </c>
      <c r="D149" s="1" t="s">
        <v>15</v>
      </c>
      <c r="E149" s="1">
        <v>2</v>
      </c>
      <c r="F149" s="12">
        <v>11.87</v>
      </c>
      <c r="G149" s="12">
        <v>1.63</v>
      </c>
      <c r="I149" s="1">
        <f t="shared" si="14"/>
        <v>2</v>
      </c>
      <c r="J149" s="1">
        <f t="shared" si="15"/>
        <v>1</v>
      </c>
      <c r="K149" s="1">
        <f t="shared" si="16"/>
        <v>2</v>
      </c>
      <c r="L149" s="1">
        <f t="shared" si="20"/>
        <v>4</v>
      </c>
      <c r="M149" s="1">
        <v>2</v>
      </c>
      <c r="N149" s="12">
        <v>11.87</v>
      </c>
      <c r="O149" s="12">
        <v>1.63</v>
      </c>
      <c r="P149" s="12">
        <f>'Model output'!$B$17+'Model output'!$B$18*tips_table!$I149+'Model output'!$B$19*tips_table!$J149+'Model output'!$B$20*tips_table!$K149+'Model output'!$B$21*tips_table!$L149+'Model output'!$B$22*tips_table!$M149+'Model output'!$B$23*tips_table!$N149</f>
        <v>2.1916688392819781</v>
      </c>
      <c r="Q149" s="8">
        <f t="shared" si="17"/>
        <v>-0.56166883928197819</v>
      </c>
      <c r="R149" s="16">
        <f t="shared" si="18"/>
        <v>0.31547188502036466</v>
      </c>
      <c r="W149" s="1">
        <v>0.75944339705833919</v>
      </c>
      <c r="X149" s="1">
        <f>'Model output'!$B$18*tips_table!$I149</f>
        <v>7.4367076081372621E-2</v>
      </c>
      <c r="Y149" s="1">
        <f>'Model output'!$B$20*tips_table!$K149</f>
        <v>0.17745552547297233</v>
      </c>
      <c r="Z149" s="1">
        <f>'Model output'!$B$19*tips_table!$J149</f>
        <v>-7.3687758526173666E-2</v>
      </c>
      <c r="AA149" s="1">
        <f>'Model output'!$B$21*tips_table!$L149</f>
        <v>-0.2139953712402721</v>
      </c>
      <c r="AB149" s="1">
        <f>'Model output'!$B$22*tips_table!$M149</f>
        <v>0.34786623214719364</v>
      </c>
      <c r="AC149" s="1">
        <f>'Model output'!$B$23*tips_table!$N149</f>
        <v>1.1202197382885459</v>
      </c>
      <c r="AD149" s="12">
        <f t="shared" si="19"/>
        <v>2.1916688392819781</v>
      </c>
    </row>
    <row r="150" spans="1:30" x14ac:dyDescent="0.3">
      <c r="A150" s="1" t="s">
        <v>11</v>
      </c>
      <c r="B150" s="1" t="s">
        <v>8</v>
      </c>
      <c r="C150" s="1" t="s">
        <v>14</v>
      </c>
      <c r="D150" s="1" t="s">
        <v>15</v>
      </c>
      <c r="E150" s="1">
        <v>2</v>
      </c>
      <c r="F150" s="12">
        <v>9.7799999999999994</v>
      </c>
      <c r="G150" s="12">
        <v>1.73</v>
      </c>
      <c r="I150" s="1">
        <f t="shared" si="14"/>
        <v>1</v>
      </c>
      <c r="J150" s="1">
        <f t="shared" si="15"/>
        <v>1</v>
      </c>
      <c r="K150" s="1">
        <f t="shared" si="16"/>
        <v>2</v>
      </c>
      <c r="L150" s="1">
        <f t="shared" si="20"/>
        <v>4</v>
      </c>
      <c r="M150" s="1">
        <v>2</v>
      </c>
      <c r="N150" s="12">
        <v>9.7799999999999994</v>
      </c>
      <c r="O150" s="12">
        <v>1.73</v>
      </c>
      <c r="P150" s="12">
        <f>'Model output'!$B$17+'Model output'!$B$18*tips_table!$I150+'Model output'!$B$19*tips_table!$J150+'Model output'!$B$20*tips_table!$K150+'Model output'!$B$21*tips_table!$L150+'Model output'!$B$22*tips_table!$M150+'Model output'!$B$23*tips_table!$N150</f>
        <v>1.9572435781559452</v>
      </c>
      <c r="Q150" s="8">
        <f t="shared" si="17"/>
        <v>-0.2272435781559452</v>
      </c>
      <c r="R150" s="16">
        <f t="shared" si="18"/>
        <v>5.1639643813117177E-2</v>
      </c>
      <c r="W150" s="1">
        <v>0.75944339705833919</v>
      </c>
      <c r="X150" s="1">
        <f>'Model output'!$B$18*tips_table!$I150</f>
        <v>3.7183538040686311E-2</v>
      </c>
      <c r="Y150" s="1">
        <f>'Model output'!$B$20*tips_table!$K150</f>
        <v>0.17745552547297233</v>
      </c>
      <c r="Z150" s="1">
        <f>'Model output'!$B$19*tips_table!$J150</f>
        <v>-7.3687758526173666E-2</v>
      </c>
      <c r="AA150" s="1">
        <f>'Model output'!$B$21*tips_table!$L150</f>
        <v>-0.2139953712402721</v>
      </c>
      <c r="AB150" s="1">
        <f>'Model output'!$B$22*tips_table!$M150</f>
        <v>0.34786623214719364</v>
      </c>
      <c r="AC150" s="1">
        <f>'Model output'!$B$23*tips_table!$N150</f>
        <v>0.92297801520319966</v>
      </c>
      <c r="AD150" s="12">
        <f t="shared" si="19"/>
        <v>1.9572435781559452</v>
      </c>
    </row>
    <row r="151" spans="1:30" x14ac:dyDescent="0.3">
      <c r="A151" s="1" t="s">
        <v>11</v>
      </c>
      <c r="B151" s="1" t="s">
        <v>8</v>
      </c>
      <c r="C151" s="1" t="s">
        <v>14</v>
      </c>
      <c r="D151" s="1" t="s">
        <v>15</v>
      </c>
      <c r="E151" s="1">
        <v>2</v>
      </c>
      <c r="F151" s="12">
        <v>7.51</v>
      </c>
      <c r="G151" s="12">
        <v>2</v>
      </c>
      <c r="I151" s="1">
        <f t="shared" si="14"/>
        <v>1</v>
      </c>
      <c r="J151" s="1">
        <f t="shared" si="15"/>
        <v>1</v>
      </c>
      <c r="K151" s="1">
        <f t="shared" si="16"/>
        <v>2</v>
      </c>
      <c r="L151" s="1">
        <f t="shared" si="20"/>
        <v>4</v>
      </c>
      <c r="M151" s="1">
        <v>2</v>
      </c>
      <c r="N151" s="12">
        <v>7.51</v>
      </c>
      <c r="O151" s="12">
        <v>2</v>
      </c>
      <c r="P151" s="12">
        <f>'Model output'!$B$17+'Model output'!$B$18*tips_table!$I151+'Model output'!$B$19*tips_table!$J151+'Model output'!$B$20*tips_table!$K151+'Model output'!$B$21*tips_table!$L151+'Model output'!$B$22*tips_table!$M151+'Model output'!$B$23*tips_table!$N151</f>
        <v>1.7430145296374111</v>
      </c>
      <c r="Q151" s="8">
        <f t="shared" si="17"/>
        <v>0.2569854703625889</v>
      </c>
      <c r="R151" s="16">
        <f t="shared" si="18"/>
        <v>6.6041531977481055E-2</v>
      </c>
      <c r="W151" s="1">
        <v>0.75944339705833919</v>
      </c>
      <c r="X151" s="1">
        <f>'Model output'!$B$18*tips_table!$I151</f>
        <v>3.7183538040686311E-2</v>
      </c>
      <c r="Y151" s="1">
        <f>'Model output'!$B$20*tips_table!$K151</f>
        <v>0.17745552547297233</v>
      </c>
      <c r="Z151" s="1">
        <f>'Model output'!$B$19*tips_table!$J151</f>
        <v>-7.3687758526173666E-2</v>
      </c>
      <c r="AA151" s="1">
        <f>'Model output'!$B$21*tips_table!$L151</f>
        <v>-0.2139953712402721</v>
      </c>
      <c r="AB151" s="1">
        <f>'Model output'!$B$22*tips_table!$M151</f>
        <v>0.34786623214719364</v>
      </c>
      <c r="AC151" s="1">
        <f>'Model output'!$B$23*tips_table!$N151</f>
        <v>0.70874896668466558</v>
      </c>
      <c r="AD151" s="12">
        <f t="shared" si="19"/>
        <v>1.7430145296374111</v>
      </c>
    </row>
    <row r="152" spans="1:30" x14ac:dyDescent="0.3">
      <c r="A152" s="1" t="s">
        <v>11</v>
      </c>
      <c r="B152" s="1" t="s">
        <v>8</v>
      </c>
      <c r="C152" s="1" t="s">
        <v>9</v>
      </c>
      <c r="D152" s="1" t="s">
        <v>10</v>
      </c>
      <c r="E152" s="1">
        <v>2</v>
      </c>
      <c r="F152" s="12">
        <v>14.07</v>
      </c>
      <c r="G152" s="12">
        <v>2.5</v>
      </c>
      <c r="I152" s="1">
        <f t="shared" si="14"/>
        <v>1</v>
      </c>
      <c r="J152" s="1">
        <f t="shared" si="15"/>
        <v>1</v>
      </c>
      <c r="K152" s="1">
        <f t="shared" si="16"/>
        <v>1</v>
      </c>
      <c r="L152" s="1">
        <f t="shared" si="20"/>
        <v>1</v>
      </c>
      <c r="M152" s="1">
        <v>2</v>
      </c>
      <c r="N152" s="12">
        <v>14.07</v>
      </c>
      <c r="O152" s="12">
        <v>2.5</v>
      </c>
      <c r="P152" s="12">
        <f>'Model output'!$B$17+'Model output'!$B$18*tips_table!$I152+'Model output'!$B$19*tips_table!$J152+'Model output'!$B$20*tips_table!$K152+'Model output'!$B$21*tips_table!$L152+'Model output'!$B$22*tips_table!$M152+'Model output'!$B$23*tips_table!$N152</f>
        <v>2.4338769333406374</v>
      </c>
      <c r="Q152" s="8">
        <f t="shared" si="17"/>
        <v>6.6123066659362628E-2</v>
      </c>
      <c r="R152" s="16">
        <f t="shared" si="18"/>
        <v>4.3722599444385134E-3</v>
      </c>
      <c r="W152" s="1">
        <v>0.75944339705833919</v>
      </c>
      <c r="X152" s="1">
        <f>'Model output'!$B$18*tips_table!$I152</f>
        <v>3.7183538040686311E-2</v>
      </c>
      <c r="Y152" s="1">
        <f>'Model output'!$B$20*tips_table!$K152</f>
        <v>8.8727762736486165E-2</v>
      </c>
      <c r="Z152" s="1">
        <f>'Model output'!$B$19*tips_table!$J152</f>
        <v>-7.3687758526173666E-2</v>
      </c>
      <c r="AA152" s="1">
        <f>'Model output'!$B$21*tips_table!$L152</f>
        <v>-5.3498842810068024E-2</v>
      </c>
      <c r="AB152" s="1">
        <f>'Model output'!$B$22*tips_table!$M152</f>
        <v>0.34786623214719364</v>
      </c>
      <c r="AC152" s="1">
        <f>'Model output'!$B$23*tips_table!$N152</f>
        <v>1.3278426046941738</v>
      </c>
      <c r="AD152" s="12">
        <f t="shared" si="19"/>
        <v>2.4338769333406374</v>
      </c>
    </row>
    <row r="153" spans="1:30" x14ac:dyDescent="0.3">
      <c r="A153" s="1" t="s">
        <v>11</v>
      </c>
      <c r="B153" s="1" t="s">
        <v>8</v>
      </c>
      <c r="C153" s="1" t="s">
        <v>9</v>
      </c>
      <c r="D153" s="1" t="s">
        <v>10</v>
      </c>
      <c r="E153" s="1">
        <v>2</v>
      </c>
      <c r="F153" s="12">
        <v>13.13</v>
      </c>
      <c r="G153" s="12">
        <v>2</v>
      </c>
      <c r="I153" s="1">
        <f t="shared" si="14"/>
        <v>1</v>
      </c>
      <c r="J153" s="1">
        <f t="shared" si="15"/>
        <v>1</v>
      </c>
      <c r="K153" s="1">
        <f t="shared" si="16"/>
        <v>1</v>
      </c>
      <c r="L153" s="1">
        <f t="shared" si="20"/>
        <v>1</v>
      </c>
      <c r="M153" s="1">
        <v>2</v>
      </c>
      <c r="N153" s="12">
        <v>13.13</v>
      </c>
      <c r="O153" s="12">
        <v>2</v>
      </c>
      <c r="P153" s="12">
        <f>'Model output'!$B$17+'Model output'!$B$18*tips_table!$I153+'Model output'!$B$19*tips_table!$J153+'Model output'!$B$20*tips_table!$K153+'Model output'!$B$21*tips_table!$L153+'Model output'!$B$22*tips_table!$M153+'Model output'!$B$23*tips_table!$N153</f>
        <v>2.3451653449673238</v>
      </c>
      <c r="Q153" s="8">
        <f t="shared" si="17"/>
        <v>-0.34516534496732376</v>
      </c>
      <c r="R153" s="16">
        <f t="shared" si="18"/>
        <v>0.11913911536641161</v>
      </c>
      <c r="W153" s="1">
        <v>0.75944339705833919</v>
      </c>
      <c r="X153" s="1">
        <f>'Model output'!$B$18*tips_table!$I153</f>
        <v>3.7183538040686311E-2</v>
      </c>
      <c r="Y153" s="1">
        <f>'Model output'!$B$20*tips_table!$K153</f>
        <v>8.8727762736486165E-2</v>
      </c>
      <c r="Z153" s="1">
        <f>'Model output'!$B$19*tips_table!$J153</f>
        <v>-7.3687758526173666E-2</v>
      </c>
      <c r="AA153" s="1">
        <f>'Model output'!$B$21*tips_table!$L153</f>
        <v>-5.3498842810068024E-2</v>
      </c>
      <c r="AB153" s="1">
        <f>'Model output'!$B$22*tips_table!$M153</f>
        <v>0.34786623214719364</v>
      </c>
      <c r="AC153" s="1">
        <f>'Model output'!$B$23*tips_table!$N153</f>
        <v>1.2391310163208602</v>
      </c>
      <c r="AD153" s="12">
        <f t="shared" si="19"/>
        <v>2.3451653449673238</v>
      </c>
    </row>
    <row r="154" spans="1:30" x14ac:dyDescent="0.3">
      <c r="A154" s="1" t="s">
        <v>11</v>
      </c>
      <c r="B154" s="1" t="s">
        <v>8</v>
      </c>
      <c r="C154" s="1" t="s">
        <v>9</v>
      </c>
      <c r="D154" s="1" t="s">
        <v>10</v>
      </c>
      <c r="E154" s="1">
        <v>3</v>
      </c>
      <c r="F154" s="12">
        <v>17.260000000000002</v>
      </c>
      <c r="G154" s="12">
        <v>2.74</v>
      </c>
      <c r="I154" s="1">
        <f t="shared" si="14"/>
        <v>1</v>
      </c>
      <c r="J154" s="1">
        <f t="shared" si="15"/>
        <v>1</v>
      </c>
      <c r="K154" s="1">
        <f t="shared" si="16"/>
        <v>1</v>
      </c>
      <c r="L154" s="1">
        <f t="shared" si="20"/>
        <v>1</v>
      </c>
      <c r="M154" s="1">
        <v>3</v>
      </c>
      <c r="N154" s="12">
        <v>17.260000000000002</v>
      </c>
      <c r="O154" s="12">
        <v>2.74</v>
      </c>
      <c r="P154" s="12">
        <f>'Model output'!$B$17+'Model output'!$B$18*tips_table!$I154+'Model output'!$B$19*tips_table!$J154+'Model output'!$B$20*tips_table!$K154+'Model output'!$B$21*tips_table!$L154+'Model output'!$B$22*tips_table!$M154+'Model output'!$B$23*tips_table!$N154</f>
        <v>2.9088632057023949</v>
      </c>
      <c r="Q154" s="8">
        <f t="shared" si="17"/>
        <v>-0.16886320570239466</v>
      </c>
      <c r="R154" s="16">
        <f t="shared" si="18"/>
        <v>2.8514782240089253E-2</v>
      </c>
      <c r="W154" s="1">
        <v>0.75944339705833919</v>
      </c>
      <c r="X154" s="1">
        <f>'Model output'!$B$18*tips_table!$I154</f>
        <v>3.7183538040686311E-2</v>
      </c>
      <c r="Y154" s="1">
        <f>'Model output'!$B$20*tips_table!$K154</f>
        <v>8.8727762736486165E-2</v>
      </c>
      <c r="Z154" s="1">
        <f>'Model output'!$B$19*tips_table!$J154</f>
        <v>-7.3687758526173666E-2</v>
      </c>
      <c r="AA154" s="1">
        <f>'Model output'!$B$21*tips_table!$L154</f>
        <v>-5.3498842810068024E-2</v>
      </c>
      <c r="AB154" s="1">
        <f>'Model output'!$B$22*tips_table!$M154</f>
        <v>0.52179934822079044</v>
      </c>
      <c r="AC154" s="1">
        <f>'Model output'!$B$23*tips_table!$N154</f>
        <v>1.6288957609823342</v>
      </c>
      <c r="AD154" s="12">
        <f t="shared" si="19"/>
        <v>2.9088632057023949</v>
      </c>
    </row>
    <row r="155" spans="1:30" x14ac:dyDescent="0.3">
      <c r="A155" s="1" t="s">
        <v>11</v>
      </c>
      <c r="B155" s="1" t="s">
        <v>8</v>
      </c>
      <c r="C155" s="1" t="s">
        <v>9</v>
      </c>
      <c r="D155" s="1" t="s">
        <v>10</v>
      </c>
      <c r="E155" s="1">
        <v>4</v>
      </c>
      <c r="F155" s="12">
        <v>24.55</v>
      </c>
      <c r="G155" s="12">
        <v>2</v>
      </c>
      <c r="I155" s="1">
        <f t="shared" si="14"/>
        <v>1</v>
      </c>
      <c r="J155" s="1">
        <f t="shared" si="15"/>
        <v>1</v>
      </c>
      <c r="K155" s="1">
        <f t="shared" si="16"/>
        <v>1</v>
      </c>
      <c r="L155" s="1">
        <f t="shared" si="20"/>
        <v>1</v>
      </c>
      <c r="M155" s="1">
        <v>4</v>
      </c>
      <c r="N155" s="12">
        <v>24.55</v>
      </c>
      <c r="O155" s="12">
        <v>2</v>
      </c>
      <c r="P155" s="12">
        <f>'Model output'!$B$17+'Model output'!$B$18*tips_table!$I155+'Model output'!$B$19*tips_table!$J155+'Model output'!$B$20*tips_table!$K155+'Model output'!$B$21*tips_table!$L155+'Model output'!$B$22*tips_table!$M155+'Model output'!$B$23*tips_table!$N155</f>
        <v>3.7707830018200941</v>
      </c>
      <c r="Q155" s="8">
        <f t="shared" si="17"/>
        <v>-1.7707830018200941</v>
      </c>
      <c r="R155" s="16">
        <f t="shared" si="18"/>
        <v>3.1356724395349831</v>
      </c>
      <c r="W155" s="1">
        <v>0.75944339705833919</v>
      </c>
      <c r="X155" s="1">
        <f>'Model output'!$B$18*tips_table!$I155</f>
        <v>3.7183538040686311E-2</v>
      </c>
      <c r="Y155" s="1">
        <f>'Model output'!$B$20*tips_table!$K155</f>
        <v>8.8727762736486165E-2</v>
      </c>
      <c r="Z155" s="1">
        <f>'Model output'!$B$19*tips_table!$J155</f>
        <v>-7.3687758526173666E-2</v>
      </c>
      <c r="AA155" s="1">
        <f>'Model output'!$B$21*tips_table!$L155</f>
        <v>-5.3498842810068024E-2</v>
      </c>
      <c r="AB155" s="1">
        <f>'Model output'!$B$22*tips_table!$M155</f>
        <v>0.69573246429438729</v>
      </c>
      <c r="AC155" s="1">
        <f>'Model output'!$B$23*tips_table!$N155</f>
        <v>2.3168824410264368</v>
      </c>
      <c r="AD155" s="12">
        <f t="shared" si="19"/>
        <v>3.7707830018200941</v>
      </c>
    </row>
    <row r="156" spans="1:30" x14ac:dyDescent="0.3">
      <c r="A156" s="1" t="s">
        <v>11</v>
      </c>
      <c r="B156" s="1" t="s">
        <v>8</v>
      </c>
      <c r="C156" s="1" t="s">
        <v>9</v>
      </c>
      <c r="D156" s="1" t="s">
        <v>10</v>
      </c>
      <c r="E156" s="1">
        <v>4</v>
      </c>
      <c r="F156" s="12">
        <v>19.77</v>
      </c>
      <c r="G156" s="12">
        <v>2</v>
      </c>
      <c r="I156" s="1">
        <f t="shared" si="14"/>
        <v>1</v>
      </c>
      <c r="J156" s="1">
        <f t="shared" si="15"/>
        <v>1</v>
      </c>
      <c r="K156" s="1">
        <f t="shared" si="16"/>
        <v>1</v>
      </c>
      <c r="L156" s="1">
        <f t="shared" si="20"/>
        <v>1</v>
      </c>
      <c r="M156" s="1">
        <v>4</v>
      </c>
      <c r="N156" s="12">
        <v>19.77</v>
      </c>
      <c r="O156" s="12">
        <v>2</v>
      </c>
      <c r="P156" s="12">
        <f>'Model output'!$B$17+'Model output'!$B$18*tips_table!$I156+'Model output'!$B$19*tips_table!$J156+'Model output'!$B$20*tips_table!$K156+'Model output'!$B$21*tips_table!$L156+'Model output'!$B$22*tips_table!$M156+'Model output'!$B$23*tips_table!$N156</f>
        <v>3.3196751375387756</v>
      </c>
      <c r="Q156" s="8">
        <f t="shared" si="17"/>
        <v>-1.3196751375387756</v>
      </c>
      <c r="R156" s="16">
        <f t="shared" si="18"/>
        <v>1.7415424686379863</v>
      </c>
      <c r="W156" s="1">
        <v>0.75944339705833919</v>
      </c>
      <c r="X156" s="1">
        <f>'Model output'!$B$18*tips_table!$I156</f>
        <v>3.7183538040686311E-2</v>
      </c>
      <c r="Y156" s="1">
        <f>'Model output'!$B$20*tips_table!$K156</f>
        <v>8.8727762736486165E-2</v>
      </c>
      <c r="Z156" s="1">
        <f>'Model output'!$B$19*tips_table!$J156</f>
        <v>-7.3687758526173666E-2</v>
      </c>
      <c r="AA156" s="1">
        <f>'Model output'!$B$21*tips_table!$L156</f>
        <v>-5.3498842810068024E-2</v>
      </c>
      <c r="AB156" s="1">
        <f>'Model output'!$B$22*tips_table!$M156</f>
        <v>0.69573246429438729</v>
      </c>
      <c r="AC156" s="1">
        <f>'Model output'!$B$23*tips_table!$N156</f>
        <v>1.8657745767451184</v>
      </c>
      <c r="AD156" s="12">
        <f t="shared" si="19"/>
        <v>3.3196751375387756</v>
      </c>
    </row>
    <row r="157" spans="1:30" x14ac:dyDescent="0.3">
      <c r="A157" s="1" t="s">
        <v>7</v>
      </c>
      <c r="B157" s="1" t="s">
        <v>8</v>
      </c>
      <c r="C157" s="1" t="s">
        <v>9</v>
      </c>
      <c r="D157" s="1" t="s">
        <v>10</v>
      </c>
      <c r="E157" s="1">
        <v>5</v>
      </c>
      <c r="F157" s="12">
        <v>29.85</v>
      </c>
      <c r="G157" s="12">
        <v>5.14</v>
      </c>
      <c r="I157" s="1">
        <f t="shared" si="14"/>
        <v>2</v>
      </c>
      <c r="J157" s="1">
        <f t="shared" si="15"/>
        <v>1</v>
      </c>
      <c r="K157" s="1">
        <f t="shared" si="16"/>
        <v>1</v>
      </c>
      <c r="L157" s="1">
        <f t="shared" si="20"/>
        <v>1</v>
      </c>
      <c r="M157" s="1">
        <v>5</v>
      </c>
      <c r="N157" s="12">
        <v>29.85</v>
      </c>
      <c r="O157" s="12">
        <v>5.14</v>
      </c>
      <c r="P157" s="12">
        <f>'Model output'!$B$17+'Model output'!$B$18*tips_table!$I157+'Model output'!$B$19*tips_table!$J157+'Model output'!$B$20*tips_table!$K157+'Model output'!$B$21*tips_table!$L157+'Model output'!$B$22*tips_table!$M157+'Model output'!$B$23*tips_table!$N157</f>
        <v>4.4820820159115717</v>
      </c>
      <c r="Q157" s="8">
        <f t="shared" si="17"/>
        <v>0.65791798408842794</v>
      </c>
      <c r="R157" s="16">
        <f t="shared" si="18"/>
        <v>0.43285607378698093</v>
      </c>
      <c r="W157" s="1">
        <v>0.75944339705833919</v>
      </c>
      <c r="X157" s="1">
        <f>'Model output'!$B$18*tips_table!$I157</f>
        <v>7.4367076081372621E-2</v>
      </c>
      <c r="Y157" s="1">
        <f>'Model output'!$B$20*tips_table!$K157</f>
        <v>8.8727762736486165E-2</v>
      </c>
      <c r="Z157" s="1">
        <f>'Model output'!$B$19*tips_table!$J157</f>
        <v>-7.3687758526173666E-2</v>
      </c>
      <c r="AA157" s="1">
        <f>'Model output'!$B$21*tips_table!$L157</f>
        <v>-5.3498842810068024E-2</v>
      </c>
      <c r="AB157" s="1">
        <f>'Model output'!$B$22*tips_table!$M157</f>
        <v>0.86966558036798414</v>
      </c>
      <c r="AC157" s="1">
        <f>'Model output'!$B$23*tips_table!$N157</f>
        <v>2.8170648010036312</v>
      </c>
      <c r="AD157" s="12">
        <f t="shared" si="19"/>
        <v>4.4820820159115717</v>
      </c>
    </row>
    <row r="158" spans="1:30" x14ac:dyDescent="0.3">
      <c r="A158" s="1" t="s">
        <v>11</v>
      </c>
      <c r="B158" s="1" t="s">
        <v>8</v>
      </c>
      <c r="C158" s="1" t="s">
        <v>9</v>
      </c>
      <c r="D158" s="1" t="s">
        <v>10</v>
      </c>
      <c r="E158" s="1">
        <v>6</v>
      </c>
      <c r="F158" s="12">
        <v>48.17</v>
      </c>
      <c r="G158" s="12">
        <v>5</v>
      </c>
      <c r="I158" s="1">
        <f t="shared" si="14"/>
        <v>1</v>
      </c>
      <c r="J158" s="1">
        <f t="shared" si="15"/>
        <v>1</v>
      </c>
      <c r="K158" s="1">
        <f t="shared" si="16"/>
        <v>1</v>
      </c>
      <c r="L158" s="1">
        <f t="shared" si="20"/>
        <v>1</v>
      </c>
      <c r="M158" s="1">
        <v>6</v>
      </c>
      <c r="N158" s="12">
        <v>48.17</v>
      </c>
      <c r="O158" s="12">
        <v>5</v>
      </c>
      <c r="P158" s="12">
        <f>'Model output'!$B$17+'Model output'!$B$18*tips_table!$I158+'Model output'!$B$19*tips_table!$J158+'Model output'!$B$20*tips_table!$K158+'Model output'!$B$21*tips_table!$L158+'Model output'!$B$22*tips_table!$M158+'Model output'!$B$23*tips_table!$N158</f>
        <v>6.3477638269222556</v>
      </c>
      <c r="Q158" s="8">
        <f t="shared" si="17"/>
        <v>-1.3477638269222556</v>
      </c>
      <c r="R158" s="16">
        <f t="shared" si="18"/>
        <v>1.8164673331601238</v>
      </c>
      <c r="W158" s="1">
        <v>0.75944339705833919</v>
      </c>
      <c r="X158" s="1">
        <f>'Model output'!$B$18*tips_table!$I158</f>
        <v>3.7183538040686311E-2</v>
      </c>
      <c r="Y158" s="1">
        <f>'Model output'!$B$20*tips_table!$K158</f>
        <v>8.8727762736486165E-2</v>
      </c>
      <c r="Z158" s="1">
        <f>'Model output'!$B$19*tips_table!$J158</f>
        <v>-7.3687758526173666E-2</v>
      </c>
      <c r="AA158" s="1">
        <f>'Model output'!$B$21*tips_table!$L158</f>
        <v>-5.3498842810068024E-2</v>
      </c>
      <c r="AB158" s="1">
        <f>'Model output'!$B$22*tips_table!$M158</f>
        <v>1.0435986964415809</v>
      </c>
      <c r="AC158" s="1">
        <f>'Model output'!$B$23*tips_table!$N158</f>
        <v>4.5459970339814042</v>
      </c>
      <c r="AD158" s="12">
        <f t="shared" si="19"/>
        <v>6.3477638269222556</v>
      </c>
    </row>
    <row r="159" spans="1:30" x14ac:dyDescent="0.3">
      <c r="A159" s="1" t="s">
        <v>7</v>
      </c>
      <c r="B159" s="1" t="s">
        <v>8</v>
      </c>
      <c r="C159" s="1" t="s">
        <v>9</v>
      </c>
      <c r="D159" s="1" t="s">
        <v>10</v>
      </c>
      <c r="E159" s="1">
        <v>4</v>
      </c>
      <c r="F159" s="12">
        <v>25</v>
      </c>
      <c r="G159" s="12">
        <v>3.75</v>
      </c>
      <c r="I159" s="1">
        <f t="shared" si="14"/>
        <v>2</v>
      </c>
      <c r="J159" s="1">
        <f t="shared" si="15"/>
        <v>1</v>
      </c>
      <c r="K159" s="1">
        <f t="shared" si="16"/>
        <v>1</v>
      </c>
      <c r="L159" s="1">
        <f t="shared" si="20"/>
        <v>1</v>
      </c>
      <c r="M159" s="1">
        <v>4</v>
      </c>
      <c r="N159" s="12">
        <v>25</v>
      </c>
      <c r="O159" s="12">
        <v>3.75</v>
      </c>
      <c r="P159" s="12">
        <f>'Model output'!$B$17+'Model output'!$B$18*tips_table!$I159+'Model output'!$B$19*tips_table!$J159+'Model output'!$B$20*tips_table!$K159+'Model output'!$B$21*tips_table!$L159+'Model output'!$B$22*tips_table!$M159+'Model output'!$B$23*tips_table!$N159</f>
        <v>3.8504348534437498</v>
      </c>
      <c r="Q159" s="8">
        <f t="shared" si="17"/>
        <v>-0.10043485344374981</v>
      </c>
      <c r="R159" s="16">
        <f t="shared" si="18"/>
        <v>1.0087159786267503E-2</v>
      </c>
      <c r="W159" s="1">
        <v>0.75944339705833919</v>
      </c>
      <c r="X159" s="1">
        <f>'Model output'!$B$18*tips_table!$I159</f>
        <v>7.4367076081372621E-2</v>
      </c>
      <c r="Y159" s="1">
        <f>'Model output'!$B$20*tips_table!$K159</f>
        <v>8.8727762736486165E-2</v>
      </c>
      <c r="Z159" s="1">
        <f>'Model output'!$B$19*tips_table!$J159</f>
        <v>-7.3687758526173666E-2</v>
      </c>
      <c r="AA159" s="1">
        <f>'Model output'!$B$21*tips_table!$L159</f>
        <v>-5.3498842810068024E-2</v>
      </c>
      <c r="AB159" s="1">
        <f>'Model output'!$B$22*tips_table!$M159</f>
        <v>0.69573246429438729</v>
      </c>
      <c r="AC159" s="1">
        <f>'Model output'!$B$23*tips_table!$N159</f>
        <v>2.3593507546094061</v>
      </c>
      <c r="AD159" s="12">
        <f t="shared" si="19"/>
        <v>3.8504348534437498</v>
      </c>
    </row>
    <row r="160" spans="1:30" x14ac:dyDescent="0.3">
      <c r="A160" s="1" t="s">
        <v>7</v>
      </c>
      <c r="B160" s="1" t="s">
        <v>8</v>
      </c>
      <c r="C160" s="1" t="s">
        <v>9</v>
      </c>
      <c r="D160" s="1" t="s">
        <v>10</v>
      </c>
      <c r="E160" s="1">
        <v>2</v>
      </c>
      <c r="F160" s="12">
        <v>13.39</v>
      </c>
      <c r="G160" s="12">
        <v>2.61</v>
      </c>
      <c r="I160" s="1">
        <f t="shared" si="14"/>
        <v>2</v>
      </c>
      <c r="J160" s="1">
        <f t="shared" si="15"/>
        <v>1</v>
      </c>
      <c r="K160" s="1">
        <f t="shared" si="16"/>
        <v>1</v>
      </c>
      <c r="L160" s="1">
        <f t="shared" si="20"/>
        <v>1</v>
      </c>
      <c r="M160" s="1">
        <v>2</v>
      </c>
      <c r="N160" s="12">
        <v>13.39</v>
      </c>
      <c r="O160" s="12">
        <v>2.61</v>
      </c>
      <c r="P160" s="12">
        <f>'Model output'!$B$17+'Model output'!$B$18*tips_table!$I160+'Model output'!$B$19*tips_table!$J160+'Model output'!$B$20*tips_table!$K160+'Model output'!$B$21*tips_table!$L160+'Model output'!$B$22*tips_table!$M160+'Model output'!$B$23*tips_table!$N160</f>
        <v>2.4068861308559479</v>
      </c>
      <c r="Q160" s="8">
        <f t="shared" si="17"/>
        <v>0.20311386914405194</v>
      </c>
      <c r="R160" s="16">
        <f t="shared" si="18"/>
        <v>4.1255243838667056E-2</v>
      </c>
      <c r="W160" s="1">
        <v>0.75944339705833919</v>
      </c>
      <c r="X160" s="1">
        <f>'Model output'!$B$18*tips_table!$I160</f>
        <v>7.4367076081372621E-2</v>
      </c>
      <c r="Y160" s="1">
        <f>'Model output'!$B$20*tips_table!$K160</f>
        <v>8.8727762736486165E-2</v>
      </c>
      <c r="Z160" s="1">
        <f>'Model output'!$B$19*tips_table!$J160</f>
        <v>-7.3687758526173666E-2</v>
      </c>
      <c r="AA160" s="1">
        <f>'Model output'!$B$21*tips_table!$L160</f>
        <v>-5.3498842810068024E-2</v>
      </c>
      <c r="AB160" s="1">
        <f>'Model output'!$B$22*tips_table!$M160</f>
        <v>0.34786623214719364</v>
      </c>
      <c r="AC160" s="1">
        <f>'Model output'!$B$23*tips_table!$N160</f>
        <v>1.263668264168798</v>
      </c>
      <c r="AD160" s="12">
        <f t="shared" si="19"/>
        <v>2.4068861308559479</v>
      </c>
    </row>
    <row r="161" spans="1:30" x14ac:dyDescent="0.3">
      <c r="A161" s="1" t="s">
        <v>11</v>
      </c>
      <c r="B161" s="1" t="s">
        <v>8</v>
      </c>
      <c r="C161" s="1" t="s">
        <v>9</v>
      </c>
      <c r="D161" s="1" t="s">
        <v>10</v>
      </c>
      <c r="E161" s="1">
        <v>4</v>
      </c>
      <c r="F161" s="12">
        <v>16.489999999999998</v>
      </c>
      <c r="G161" s="12">
        <v>2</v>
      </c>
      <c r="I161" s="1">
        <f t="shared" si="14"/>
        <v>1</v>
      </c>
      <c r="J161" s="1">
        <f t="shared" si="15"/>
        <v>1</v>
      </c>
      <c r="K161" s="1">
        <f t="shared" si="16"/>
        <v>1</v>
      </c>
      <c r="L161" s="1">
        <f t="shared" si="20"/>
        <v>1</v>
      </c>
      <c r="M161" s="1">
        <v>4</v>
      </c>
      <c r="N161" s="12">
        <v>16.489999999999998</v>
      </c>
      <c r="O161" s="12">
        <v>2</v>
      </c>
      <c r="P161" s="12">
        <f>'Model output'!$B$17+'Model output'!$B$18*tips_table!$I161+'Model output'!$B$19*tips_table!$J161+'Model output'!$B$20*tips_table!$K161+'Model output'!$B$21*tips_table!$L161+'Model output'!$B$22*tips_table!$M161+'Model output'!$B$23*tips_table!$N161</f>
        <v>3.0101283185340213</v>
      </c>
      <c r="Q161" s="8">
        <f t="shared" si="17"/>
        <v>-1.0101283185340213</v>
      </c>
      <c r="R161" s="16">
        <f t="shared" si="18"/>
        <v>1.0203592199043692</v>
      </c>
      <c r="W161" s="1">
        <v>0.75944339705833919</v>
      </c>
      <c r="X161" s="1">
        <f>'Model output'!$B$18*tips_table!$I161</f>
        <v>3.7183538040686311E-2</v>
      </c>
      <c r="Y161" s="1">
        <f>'Model output'!$B$20*tips_table!$K161</f>
        <v>8.8727762736486165E-2</v>
      </c>
      <c r="Z161" s="1">
        <f>'Model output'!$B$19*tips_table!$J161</f>
        <v>-7.3687758526173666E-2</v>
      </c>
      <c r="AA161" s="1">
        <f>'Model output'!$B$21*tips_table!$L161</f>
        <v>-5.3498842810068024E-2</v>
      </c>
      <c r="AB161" s="1">
        <f>'Model output'!$B$22*tips_table!$M161</f>
        <v>0.69573246429438729</v>
      </c>
      <c r="AC161" s="1">
        <f>'Model output'!$B$23*tips_table!$N161</f>
        <v>1.5562277577403643</v>
      </c>
      <c r="AD161" s="12">
        <f t="shared" si="19"/>
        <v>3.0101283185340213</v>
      </c>
    </row>
    <row r="162" spans="1:30" x14ac:dyDescent="0.3">
      <c r="A162" s="1" t="s">
        <v>11</v>
      </c>
      <c r="B162" s="1" t="s">
        <v>8</v>
      </c>
      <c r="C162" s="1" t="s">
        <v>9</v>
      </c>
      <c r="D162" s="1" t="s">
        <v>10</v>
      </c>
      <c r="E162" s="1">
        <v>4</v>
      </c>
      <c r="F162" s="12">
        <v>21.5</v>
      </c>
      <c r="G162" s="12">
        <v>3.5</v>
      </c>
      <c r="I162" s="1">
        <f t="shared" si="14"/>
        <v>1</v>
      </c>
      <c r="J162" s="1">
        <f t="shared" si="15"/>
        <v>1</v>
      </c>
      <c r="K162" s="1">
        <f t="shared" si="16"/>
        <v>1</v>
      </c>
      <c r="L162" s="1">
        <f t="shared" si="20"/>
        <v>1</v>
      </c>
      <c r="M162" s="1">
        <v>4</v>
      </c>
      <c r="N162" s="12">
        <v>21.5</v>
      </c>
      <c r="O162" s="12">
        <v>3.5</v>
      </c>
      <c r="P162" s="12">
        <f>'Model output'!$B$17+'Model output'!$B$18*tips_table!$I162+'Model output'!$B$19*tips_table!$J162+'Model output'!$B$20*tips_table!$K162+'Model output'!$B$21*tips_table!$L162+'Model output'!$B$22*tips_table!$M162+'Model output'!$B$23*tips_table!$N162</f>
        <v>3.4829422097577467</v>
      </c>
      <c r="Q162" s="8">
        <f t="shared" si="17"/>
        <v>1.705779024225329E-2</v>
      </c>
      <c r="R162" s="16">
        <f t="shared" si="18"/>
        <v>2.9096820794871154E-4</v>
      </c>
      <c r="W162" s="1">
        <v>0.75944339705833919</v>
      </c>
      <c r="X162" s="1">
        <f>'Model output'!$B$18*tips_table!$I162</f>
        <v>3.7183538040686311E-2</v>
      </c>
      <c r="Y162" s="1">
        <f>'Model output'!$B$20*tips_table!$K162</f>
        <v>8.8727762736486165E-2</v>
      </c>
      <c r="Z162" s="1">
        <f>'Model output'!$B$19*tips_table!$J162</f>
        <v>-7.3687758526173666E-2</v>
      </c>
      <c r="AA162" s="1">
        <f>'Model output'!$B$21*tips_table!$L162</f>
        <v>-5.3498842810068024E-2</v>
      </c>
      <c r="AB162" s="1">
        <f>'Model output'!$B$22*tips_table!$M162</f>
        <v>0.69573246429438729</v>
      </c>
      <c r="AC162" s="1">
        <f>'Model output'!$B$23*tips_table!$N162</f>
        <v>2.0290416489640895</v>
      </c>
      <c r="AD162" s="12">
        <f t="shared" si="19"/>
        <v>3.4829422097577467</v>
      </c>
    </row>
    <row r="163" spans="1:30" x14ac:dyDescent="0.3">
      <c r="A163" s="1" t="s">
        <v>11</v>
      </c>
      <c r="B163" s="1" t="s">
        <v>8</v>
      </c>
      <c r="C163" s="1" t="s">
        <v>9</v>
      </c>
      <c r="D163" s="1" t="s">
        <v>10</v>
      </c>
      <c r="E163" s="1">
        <v>2</v>
      </c>
      <c r="F163" s="12">
        <v>12.66</v>
      </c>
      <c r="G163" s="12">
        <v>2.5</v>
      </c>
      <c r="I163" s="1">
        <f t="shared" si="14"/>
        <v>1</v>
      </c>
      <c r="J163" s="1">
        <f t="shared" si="15"/>
        <v>1</v>
      </c>
      <c r="K163" s="1">
        <f t="shared" si="16"/>
        <v>1</v>
      </c>
      <c r="L163" s="1">
        <f t="shared" si="20"/>
        <v>1</v>
      </c>
      <c r="M163" s="1">
        <v>2</v>
      </c>
      <c r="N163" s="12">
        <v>12.66</v>
      </c>
      <c r="O163" s="12">
        <v>2.5</v>
      </c>
      <c r="P163" s="12">
        <f>'Model output'!$B$17+'Model output'!$B$18*tips_table!$I163+'Model output'!$B$19*tips_table!$J163+'Model output'!$B$20*tips_table!$K163+'Model output'!$B$21*tips_table!$L163+'Model output'!$B$22*tips_table!$M163+'Model output'!$B$23*tips_table!$N163</f>
        <v>2.300809550780667</v>
      </c>
      <c r="Q163" s="8">
        <f t="shared" si="17"/>
        <v>0.19919044921933304</v>
      </c>
      <c r="R163" s="16">
        <f t="shared" si="18"/>
        <v>3.9676835060199693E-2</v>
      </c>
      <c r="W163" s="1">
        <v>0.75944339705833919</v>
      </c>
      <c r="X163" s="1">
        <f>'Model output'!$B$18*tips_table!$I163</f>
        <v>3.7183538040686311E-2</v>
      </c>
      <c r="Y163" s="1">
        <f>'Model output'!$B$20*tips_table!$K163</f>
        <v>8.8727762736486165E-2</v>
      </c>
      <c r="Z163" s="1">
        <f>'Model output'!$B$19*tips_table!$J163</f>
        <v>-7.3687758526173666E-2</v>
      </c>
      <c r="AA163" s="1">
        <f>'Model output'!$B$21*tips_table!$L163</f>
        <v>-5.3498842810068024E-2</v>
      </c>
      <c r="AB163" s="1">
        <f>'Model output'!$B$22*tips_table!$M163</f>
        <v>0.34786623214719364</v>
      </c>
      <c r="AC163" s="1">
        <f>'Model output'!$B$23*tips_table!$N163</f>
        <v>1.1947752221342034</v>
      </c>
      <c r="AD163" s="12">
        <f t="shared" si="19"/>
        <v>2.300809550780667</v>
      </c>
    </row>
    <row r="164" spans="1:30" x14ac:dyDescent="0.3">
      <c r="A164" s="1" t="s">
        <v>7</v>
      </c>
      <c r="B164" s="1" t="s">
        <v>8</v>
      </c>
      <c r="C164" s="1" t="s">
        <v>9</v>
      </c>
      <c r="D164" s="1" t="s">
        <v>10</v>
      </c>
      <c r="E164" s="1">
        <v>3</v>
      </c>
      <c r="F164" s="12">
        <v>16.21</v>
      </c>
      <c r="G164" s="12">
        <v>2</v>
      </c>
      <c r="I164" s="1">
        <f t="shared" si="14"/>
        <v>2</v>
      </c>
      <c r="J164" s="1">
        <f t="shared" si="15"/>
        <v>1</v>
      </c>
      <c r="K164" s="1">
        <f t="shared" si="16"/>
        <v>1</v>
      </c>
      <c r="L164" s="1">
        <f t="shared" si="20"/>
        <v>1</v>
      </c>
      <c r="M164" s="1">
        <v>3</v>
      </c>
      <c r="N164" s="12">
        <v>16.21</v>
      </c>
      <c r="O164" s="12">
        <v>2</v>
      </c>
      <c r="P164" s="12">
        <f>'Model output'!$B$17+'Model output'!$B$18*tips_table!$I164+'Model output'!$B$19*tips_table!$J164+'Model output'!$B$20*tips_table!$K164+'Model output'!$B$21*tips_table!$L164+'Model output'!$B$22*tips_table!$M164+'Model output'!$B$23*tips_table!$N164</f>
        <v>2.8469540120494861</v>
      </c>
      <c r="Q164" s="8">
        <f t="shared" si="17"/>
        <v>-0.84695401204948606</v>
      </c>
      <c r="R164" s="16">
        <f t="shared" si="18"/>
        <v>0.71733109852672094</v>
      </c>
      <c r="W164" s="1">
        <v>0.75944339705833919</v>
      </c>
      <c r="X164" s="1">
        <f>'Model output'!$B$18*tips_table!$I164</f>
        <v>7.4367076081372621E-2</v>
      </c>
      <c r="Y164" s="1">
        <f>'Model output'!$B$20*tips_table!$K164</f>
        <v>8.8727762736486165E-2</v>
      </c>
      <c r="Z164" s="1">
        <f>'Model output'!$B$19*tips_table!$J164</f>
        <v>-7.3687758526173666E-2</v>
      </c>
      <c r="AA164" s="1">
        <f>'Model output'!$B$21*tips_table!$L164</f>
        <v>-5.3498842810068024E-2</v>
      </c>
      <c r="AB164" s="1">
        <f>'Model output'!$B$22*tips_table!$M164</f>
        <v>0.52179934822079044</v>
      </c>
      <c r="AC164" s="1">
        <f>'Model output'!$B$23*tips_table!$N164</f>
        <v>1.529803029288739</v>
      </c>
      <c r="AD164" s="12">
        <f t="shared" si="19"/>
        <v>2.8469540120494861</v>
      </c>
    </row>
    <row r="165" spans="1:30" x14ac:dyDescent="0.3">
      <c r="A165" s="1" t="s">
        <v>11</v>
      </c>
      <c r="B165" s="1" t="s">
        <v>8</v>
      </c>
      <c r="C165" s="1" t="s">
        <v>9</v>
      </c>
      <c r="D165" s="1" t="s">
        <v>10</v>
      </c>
      <c r="E165" s="1">
        <v>2</v>
      </c>
      <c r="F165" s="12">
        <v>13.81</v>
      </c>
      <c r="G165" s="12">
        <v>2</v>
      </c>
      <c r="I165" s="1">
        <f t="shared" si="14"/>
        <v>1</v>
      </c>
      <c r="J165" s="1">
        <f t="shared" si="15"/>
        <v>1</v>
      </c>
      <c r="K165" s="1">
        <f t="shared" si="16"/>
        <v>1</v>
      </c>
      <c r="L165" s="1">
        <f t="shared" si="20"/>
        <v>1</v>
      </c>
      <c r="M165" s="1">
        <v>2</v>
      </c>
      <c r="N165" s="12">
        <v>13.81</v>
      </c>
      <c r="O165" s="12">
        <v>2</v>
      </c>
      <c r="P165" s="12">
        <f>'Model output'!$B$17+'Model output'!$B$18*tips_table!$I165+'Model output'!$B$19*tips_table!$J165+'Model output'!$B$20*tips_table!$K165+'Model output'!$B$21*tips_table!$L165+'Model output'!$B$22*tips_table!$M165+'Model output'!$B$23*tips_table!$N165</f>
        <v>2.4093396854926996</v>
      </c>
      <c r="Q165" s="8">
        <f t="shared" si="17"/>
        <v>-0.40933968549269961</v>
      </c>
      <c r="R165" s="16">
        <f t="shared" si="18"/>
        <v>0.16755897811926224</v>
      </c>
      <c r="W165" s="1">
        <v>0.75944339705833919</v>
      </c>
      <c r="X165" s="1">
        <f>'Model output'!$B$18*tips_table!$I165</f>
        <v>3.7183538040686311E-2</v>
      </c>
      <c r="Y165" s="1">
        <f>'Model output'!$B$20*tips_table!$K165</f>
        <v>8.8727762736486165E-2</v>
      </c>
      <c r="Z165" s="1">
        <f>'Model output'!$B$19*tips_table!$J165</f>
        <v>-7.3687758526173666E-2</v>
      </c>
      <c r="AA165" s="1">
        <f>'Model output'!$B$21*tips_table!$L165</f>
        <v>-5.3498842810068024E-2</v>
      </c>
      <c r="AB165" s="1">
        <f>'Model output'!$B$22*tips_table!$M165</f>
        <v>0.34786623214719364</v>
      </c>
      <c r="AC165" s="1">
        <f>'Model output'!$B$23*tips_table!$N165</f>
        <v>1.3033053568462361</v>
      </c>
      <c r="AD165" s="12">
        <f t="shared" si="19"/>
        <v>2.4093396854926996</v>
      </c>
    </row>
    <row r="166" spans="1:30" x14ac:dyDescent="0.3">
      <c r="A166" s="1" t="s">
        <v>7</v>
      </c>
      <c r="B166" s="1" t="s">
        <v>13</v>
      </c>
      <c r="C166" s="1" t="s">
        <v>9</v>
      </c>
      <c r="D166" s="1" t="s">
        <v>10</v>
      </c>
      <c r="E166" s="1">
        <v>2</v>
      </c>
      <c r="F166" s="12">
        <v>17.510000000000002</v>
      </c>
      <c r="G166" s="12">
        <v>3</v>
      </c>
      <c r="I166" s="1">
        <f t="shared" si="14"/>
        <v>2</v>
      </c>
      <c r="J166" s="1">
        <f t="shared" si="15"/>
        <v>2</v>
      </c>
      <c r="K166" s="1">
        <f t="shared" si="16"/>
        <v>1</v>
      </c>
      <c r="L166" s="1">
        <f t="shared" si="20"/>
        <v>1</v>
      </c>
      <c r="M166" s="1">
        <v>2</v>
      </c>
      <c r="N166" s="12">
        <v>17.510000000000002</v>
      </c>
      <c r="O166" s="12">
        <v>3</v>
      </c>
      <c r="P166" s="12">
        <f>'Model output'!$B$17+'Model output'!$B$18*tips_table!$I166+'Model output'!$B$19*tips_table!$J166+'Model output'!$B$20*tips_table!$K166+'Model output'!$B$21*tips_table!$L166+'Model output'!$B$22*tips_table!$M166+'Model output'!$B$23*tips_table!$N166</f>
        <v>2.7220193766894045</v>
      </c>
      <c r="Q166" s="8">
        <f t="shared" si="17"/>
        <v>0.27798062331059548</v>
      </c>
      <c r="R166" s="16">
        <f t="shared" si="18"/>
        <v>7.7273226936147174E-2</v>
      </c>
      <c r="W166" s="1">
        <v>0.75944339705833919</v>
      </c>
      <c r="X166" s="1">
        <f>'Model output'!$B$18*tips_table!$I166</f>
        <v>7.4367076081372621E-2</v>
      </c>
      <c r="Y166" s="1">
        <f>'Model output'!$B$20*tips_table!$K166</f>
        <v>8.8727762736486165E-2</v>
      </c>
      <c r="Z166" s="1">
        <f>'Model output'!$B$19*tips_table!$J166</f>
        <v>-0.14737551705234733</v>
      </c>
      <c r="AA166" s="1">
        <f>'Model output'!$B$21*tips_table!$L166</f>
        <v>-5.3498842810068024E-2</v>
      </c>
      <c r="AB166" s="1">
        <f>'Model output'!$B$22*tips_table!$M166</f>
        <v>0.34786623214719364</v>
      </c>
      <c r="AC166" s="1">
        <f>'Model output'!$B$23*tips_table!$N166</f>
        <v>1.6524892685284283</v>
      </c>
      <c r="AD166" s="12">
        <f t="shared" si="19"/>
        <v>2.7220193766894045</v>
      </c>
    </row>
    <row r="167" spans="1:30" x14ac:dyDescent="0.3">
      <c r="A167" s="1" t="s">
        <v>11</v>
      </c>
      <c r="B167" s="1" t="s">
        <v>8</v>
      </c>
      <c r="C167" s="1" t="s">
        <v>9</v>
      </c>
      <c r="D167" s="1" t="s">
        <v>10</v>
      </c>
      <c r="E167" s="1">
        <v>3</v>
      </c>
      <c r="F167" s="12">
        <v>24.52</v>
      </c>
      <c r="G167" s="12">
        <v>3.48</v>
      </c>
      <c r="I167" s="1">
        <f t="shared" si="14"/>
        <v>1</v>
      </c>
      <c r="J167" s="1">
        <f t="shared" si="15"/>
        <v>1</v>
      </c>
      <c r="K167" s="1">
        <f t="shared" si="16"/>
        <v>1</v>
      </c>
      <c r="L167" s="1">
        <f t="shared" si="20"/>
        <v>1</v>
      </c>
      <c r="M167" s="1">
        <v>3</v>
      </c>
      <c r="N167" s="12">
        <v>24.52</v>
      </c>
      <c r="O167" s="12">
        <v>3.48</v>
      </c>
      <c r="P167" s="12">
        <f>'Model output'!$B$17+'Model output'!$B$18*tips_table!$I167+'Model output'!$B$19*tips_table!$J167+'Model output'!$B$20*tips_table!$K167+'Model output'!$B$21*tips_table!$L167+'Model output'!$B$22*tips_table!$M167+'Model output'!$B$23*tips_table!$N167</f>
        <v>3.594018664840966</v>
      </c>
      <c r="Q167" s="8">
        <f t="shared" si="17"/>
        <v>-0.11401866484096601</v>
      </c>
      <c r="R167" s="16">
        <f t="shared" si="18"/>
        <v>1.3000255932116539E-2</v>
      </c>
      <c r="W167" s="1">
        <v>0.75944339705833919</v>
      </c>
      <c r="X167" s="1">
        <f>'Model output'!$B$18*tips_table!$I167</f>
        <v>3.7183538040686311E-2</v>
      </c>
      <c r="Y167" s="1">
        <f>'Model output'!$B$20*tips_table!$K167</f>
        <v>8.8727762736486165E-2</v>
      </c>
      <c r="Z167" s="1">
        <f>'Model output'!$B$19*tips_table!$J167</f>
        <v>-7.3687758526173666E-2</v>
      </c>
      <c r="AA167" s="1">
        <f>'Model output'!$B$21*tips_table!$L167</f>
        <v>-5.3498842810068024E-2</v>
      </c>
      <c r="AB167" s="1">
        <f>'Model output'!$B$22*tips_table!$M167</f>
        <v>0.52179934822079044</v>
      </c>
      <c r="AC167" s="1">
        <f>'Model output'!$B$23*tips_table!$N167</f>
        <v>2.3140512201209056</v>
      </c>
      <c r="AD167" s="12">
        <f t="shared" si="19"/>
        <v>3.594018664840966</v>
      </c>
    </row>
    <row r="168" spans="1:30" x14ac:dyDescent="0.3">
      <c r="A168" s="1" t="s">
        <v>11</v>
      </c>
      <c r="B168" s="1" t="s">
        <v>8</v>
      </c>
      <c r="C168" s="1" t="s">
        <v>9</v>
      </c>
      <c r="D168" s="1" t="s">
        <v>10</v>
      </c>
      <c r="E168" s="1">
        <v>2</v>
      </c>
      <c r="F168" s="12">
        <v>20.76</v>
      </c>
      <c r="G168" s="12">
        <v>2.2400000000000002</v>
      </c>
      <c r="I168" s="1">
        <f t="shared" si="14"/>
        <v>1</v>
      </c>
      <c r="J168" s="1">
        <f t="shared" si="15"/>
        <v>1</v>
      </c>
      <c r="K168" s="1">
        <f t="shared" si="16"/>
        <v>1</v>
      </c>
      <c r="L168" s="1">
        <f t="shared" si="20"/>
        <v>1</v>
      </c>
      <c r="M168" s="1">
        <v>2</v>
      </c>
      <c r="N168" s="12">
        <v>20.76</v>
      </c>
      <c r="O168" s="12">
        <v>2.2400000000000002</v>
      </c>
      <c r="P168" s="12">
        <f>'Model output'!$B$17+'Model output'!$B$18*tips_table!$I168+'Model output'!$B$19*tips_table!$J168+'Model output'!$B$20*tips_table!$K168+'Model output'!$B$21*tips_table!$L168+'Model output'!$B$22*tips_table!$M168+'Model output'!$B$23*tips_table!$N168</f>
        <v>3.0652391952741147</v>
      </c>
      <c r="Q168" s="8">
        <f t="shared" si="17"/>
        <v>-0.82523919527411449</v>
      </c>
      <c r="R168" s="16">
        <f t="shared" si="18"/>
        <v>0.68101972941666811</v>
      </c>
      <c r="W168" s="1">
        <v>0.75944339705833919</v>
      </c>
      <c r="X168" s="1">
        <f>'Model output'!$B$18*tips_table!$I168</f>
        <v>3.7183538040686311E-2</v>
      </c>
      <c r="Y168" s="1">
        <f>'Model output'!$B$20*tips_table!$K168</f>
        <v>8.8727762736486165E-2</v>
      </c>
      <c r="Z168" s="1">
        <f>'Model output'!$B$19*tips_table!$J168</f>
        <v>-7.3687758526173666E-2</v>
      </c>
      <c r="AA168" s="1">
        <f>'Model output'!$B$21*tips_table!$L168</f>
        <v>-5.3498842810068024E-2</v>
      </c>
      <c r="AB168" s="1">
        <f>'Model output'!$B$22*tips_table!$M168</f>
        <v>0.34786623214719364</v>
      </c>
      <c r="AC168" s="1">
        <f>'Model output'!$B$23*tips_table!$N168</f>
        <v>1.9592048666276511</v>
      </c>
      <c r="AD168" s="12">
        <f t="shared" si="19"/>
        <v>3.0652391952741147</v>
      </c>
    </row>
    <row r="169" spans="1:30" x14ac:dyDescent="0.3">
      <c r="A169" s="1" t="s">
        <v>11</v>
      </c>
      <c r="B169" s="1" t="s">
        <v>8</v>
      </c>
      <c r="C169" s="1" t="s">
        <v>9</v>
      </c>
      <c r="D169" s="1" t="s">
        <v>10</v>
      </c>
      <c r="E169" s="1">
        <v>4</v>
      </c>
      <c r="F169" s="12">
        <v>31.71</v>
      </c>
      <c r="G169" s="12">
        <v>4.5</v>
      </c>
      <c r="I169" s="1">
        <f t="shared" si="14"/>
        <v>1</v>
      </c>
      <c r="J169" s="1">
        <f t="shared" si="15"/>
        <v>1</v>
      </c>
      <c r="K169" s="1">
        <f t="shared" si="16"/>
        <v>1</v>
      </c>
      <c r="L169" s="1">
        <f t="shared" si="20"/>
        <v>1</v>
      </c>
      <c r="M169" s="1">
        <v>4</v>
      </c>
      <c r="N169" s="12">
        <v>31.71</v>
      </c>
      <c r="O169" s="12">
        <v>4.5</v>
      </c>
      <c r="P169" s="12">
        <f>'Model output'!$B$17+'Model output'!$B$18*tips_table!$I169+'Model output'!$B$19*tips_table!$J169+'Model output'!$B$20*tips_table!$K169+'Model output'!$B$21*tips_table!$L169+'Model output'!$B$22*tips_table!$M169+'Model output'!$B$23*tips_table!$N169</f>
        <v>4.4465010579402282</v>
      </c>
      <c r="Q169" s="8">
        <f t="shared" si="17"/>
        <v>5.3498942059771792E-2</v>
      </c>
      <c r="R169" s="16">
        <f t="shared" si="18"/>
        <v>2.8621368015148193E-3</v>
      </c>
      <c r="W169" s="1">
        <v>0.75944339705833919</v>
      </c>
      <c r="X169" s="1">
        <f>'Model output'!$B$18*tips_table!$I169</f>
        <v>3.7183538040686311E-2</v>
      </c>
      <c r="Y169" s="1">
        <f>'Model output'!$B$20*tips_table!$K169</f>
        <v>8.8727762736486165E-2</v>
      </c>
      <c r="Z169" s="1">
        <f>'Model output'!$B$19*tips_table!$J169</f>
        <v>-7.3687758526173666E-2</v>
      </c>
      <c r="AA169" s="1">
        <f>'Model output'!$B$21*tips_table!$L169</f>
        <v>-5.3498842810068024E-2</v>
      </c>
      <c r="AB169" s="1">
        <f>'Model output'!$B$22*tips_table!$M169</f>
        <v>0.69573246429438729</v>
      </c>
      <c r="AC169" s="1">
        <f>'Model output'!$B$23*tips_table!$N169</f>
        <v>2.9926004971465709</v>
      </c>
      <c r="AD169" s="12">
        <f t="shared" si="19"/>
        <v>4.4465010579402282</v>
      </c>
    </row>
    <row r="170" spans="1:30" x14ac:dyDescent="0.3">
      <c r="A170" s="1" t="s">
        <v>7</v>
      </c>
      <c r="B170" s="1" t="s">
        <v>13</v>
      </c>
      <c r="C170" s="1" t="s">
        <v>12</v>
      </c>
      <c r="D170" s="1" t="s">
        <v>10</v>
      </c>
      <c r="E170" s="1">
        <v>2</v>
      </c>
      <c r="F170" s="12">
        <v>10.59</v>
      </c>
      <c r="G170" s="12">
        <v>1.61</v>
      </c>
      <c r="I170" s="1">
        <f t="shared" si="14"/>
        <v>2</v>
      </c>
      <c r="J170" s="1">
        <f t="shared" si="15"/>
        <v>2</v>
      </c>
      <c r="K170" s="1">
        <f t="shared" si="16"/>
        <v>1</v>
      </c>
      <c r="L170" s="1">
        <f t="shared" si="20"/>
        <v>3</v>
      </c>
      <c r="M170" s="1">
        <v>2</v>
      </c>
      <c r="N170" s="12">
        <v>10.59</v>
      </c>
      <c r="O170" s="12">
        <v>1.61</v>
      </c>
      <c r="P170" s="12">
        <f>'Model output'!$B$17+'Model output'!$B$18*tips_table!$I170+'Model output'!$B$19*tips_table!$J170+'Model output'!$B$20*tips_table!$K170+'Model output'!$B$21*tips_table!$L170+'Model output'!$B$22*tips_table!$M170+'Model output'!$B$23*tips_table!$N170</f>
        <v>1.9619534021933847</v>
      </c>
      <c r="Q170" s="8">
        <f t="shared" si="17"/>
        <v>-0.35195340219338456</v>
      </c>
      <c r="R170" s="16">
        <f t="shared" si="18"/>
        <v>0.12387119731549831</v>
      </c>
      <c r="W170" s="1">
        <v>0.75944339705833919</v>
      </c>
      <c r="X170" s="1">
        <f>'Model output'!$B$18*tips_table!$I170</f>
        <v>7.4367076081372621E-2</v>
      </c>
      <c r="Y170" s="1">
        <f>'Model output'!$B$20*tips_table!$K170</f>
        <v>8.8727762736486165E-2</v>
      </c>
      <c r="Z170" s="1">
        <f>'Model output'!$B$19*tips_table!$J170</f>
        <v>-0.14737551705234733</v>
      </c>
      <c r="AA170" s="1">
        <f>'Model output'!$B$21*tips_table!$L170</f>
        <v>-0.16049652843020407</v>
      </c>
      <c r="AB170" s="1">
        <f>'Model output'!$B$22*tips_table!$M170</f>
        <v>0.34786623214719364</v>
      </c>
      <c r="AC170" s="1">
        <f>'Model output'!$B$23*tips_table!$N170</f>
        <v>0.99942097965254451</v>
      </c>
      <c r="AD170" s="12">
        <f t="shared" si="19"/>
        <v>1.9619534021933847</v>
      </c>
    </row>
    <row r="171" spans="1:30" x14ac:dyDescent="0.3">
      <c r="A171" s="1" t="s">
        <v>7</v>
      </c>
      <c r="B171" s="1" t="s">
        <v>13</v>
      </c>
      <c r="C171" s="1" t="s">
        <v>12</v>
      </c>
      <c r="D171" s="1" t="s">
        <v>10</v>
      </c>
      <c r="E171" s="1">
        <v>2</v>
      </c>
      <c r="F171" s="12">
        <v>10.63</v>
      </c>
      <c r="G171" s="12">
        <v>2</v>
      </c>
      <c r="I171" s="1">
        <f t="shared" si="14"/>
        <v>2</v>
      </c>
      <c r="J171" s="1">
        <f t="shared" si="15"/>
        <v>2</v>
      </c>
      <c r="K171" s="1">
        <f t="shared" si="16"/>
        <v>1</v>
      </c>
      <c r="L171" s="1">
        <f t="shared" si="20"/>
        <v>3</v>
      </c>
      <c r="M171" s="1">
        <v>2</v>
      </c>
      <c r="N171" s="12">
        <v>10.63</v>
      </c>
      <c r="O171" s="12">
        <v>2</v>
      </c>
      <c r="P171" s="12">
        <f>'Model output'!$B$17+'Model output'!$B$18*tips_table!$I171+'Model output'!$B$19*tips_table!$J171+'Model output'!$B$20*tips_table!$K171+'Model output'!$B$21*tips_table!$L171+'Model output'!$B$22*tips_table!$M171+'Model output'!$B$23*tips_table!$N171</f>
        <v>1.9657283634007598</v>
      </c>
      <c r="Q171" s="8">
        <f t="shared" si="17"/>
        <v>3.4271636599240152E-2</v>
      </c>
      <c r="R171" s="16">
        <f t="shared" si="18"/>
        <v>1.1745450751903771E-3</v>
      </c>
      <c r="W171" s="1">
        <v>0.75944339705833919</v>
      </c>
      <c r="X171" s="1">
        <f>'Model output'!$B$18*tips_table!$I171</f>
        <v>7.4367076081372621E-2</v>
      </c>
      <c r="Y171" s="1">
        <f>'Model output'!$B$20*tips_table!$K171</f>
        <v>8.8727762736486165E-2</v>
      </c>
      <c r="Z171" s="1">
        <f>'Model output'!$B$19*tips_table!$J171</f>
        <v>-0.14737551705234733</v>
      </c>
      <c r="AA171" s="1">
        <f>'Model output'!$B$21*tips_table!$L171</f>
        <v>-0.16049652843020407</v>
      </c>
      <c r="AB171" s="1">
        <f>'Model output'!$B$22*tips_table!$M171</f>
        <v>0.34786623214719364</v>
      </c>
      <c r="AC171" s="1">
        <f>'Model output'!$B$23*tips_table!$N171</f>
        <v>1.0031959408599196</v>
      </c>
      <c r="AD171" s="12">
        <f t="shared" si="19"/>
        <v>1.9657283634007598</v>
      </c>
    </row>
    <row r="172" spans="1:30" x14ac:dyDescent="0.3">
      <c r="A172" s="1" t="s">
        <v>11</v>
      </c>
      <c r="B172" s="1" t="s">
        <v>13</v>
      </c>
      <c r="C172" s="1" t="s">
        <v>12</v>
      </c>
      <c r="D172" s="1" t="s">
        <v>10</v>
      </c>
      <c r="E172" s="1">
        <v>3</v>
      </c>
      <c r="F172" s="12">
        <v>50.81</v>
      </c>
      <c r="G172" s="12">
        <v>10</v>
      </c>
      <c r="I172" s="1">
        <f t="shared" si="14"/>
        <v>1</v>
      </c>
      <c r="J172" s="1">
        <f t="shared" si="15"/>
        <v>2</v>
      </c>
      <c r="K172" s="1">
        <f t="shared" si="16"/>
        <v>1</v>
      </c>
      <c r="L172" s="1">
        <f t="shared" si="20"/>
        <v>3</v>
      </c>
      <c r="M172" s="1">
        <v>3</v>
      </c>
      <c r="N172" s="12">
        <v>50.81</v>
      </c>
      <c r="O172" s="12">
        <v>10</v>
      </c>
      <c r="P172" s="12">
        <f>'Model output'!$B$17+'Model output'!$B$18*tips_table!$I172+'Model output'!$B$19*tips_table!$J172+'Model output'!$B$20*tips_table!$K172+'Model output'!$B$21*tips_table!$L172+'Model output'!$B$22*tips_table!$M172+'Model output'!$B$23*tips_table!$N172</f>
        <v>5.894426474241909</v>
      </c>
      <c r="Q172" s="8">
        <f t="shared" si="17"/>
        <v>4.105573525758091</v>
      </c>
      <c r="R172" s="16">
        <f t="shared" si="18"/>
        <v>16.855733975405723</v>
      </c>
      <c r="W172" s="1">
        <v>0.75944339705833919</v>
      </c>
      <c r="X172" s="1">
        <f>'Model output'!$B$18*tips_table!$I172</f>
        <v>3.7183538040686311E-2</v>
      </c>
      <c r="Y172" s="1">
        <f>'Model output'!$B$20*tips_table!$K172</f>
        <v>8.8727762736486165E-2</v>
      </c>
      <c r="Z172" s="1">
        <f>'Model output'!$B$19*tips_table!$J172</f>
        <v>-0.14737551705234733</v>
      </c>
      <c r="AA172" s="1">
        <f>'Model output'!$B$21*tips_table!$L172</f>
        <v>-0.16049652843020407</v>
      </c>
      <c r="AB172" s="1">
        <f>'Model output'!$B$22*tips_table!$M172</f>
        <v>0.52179934822079044</v>
      </c>
      <c r="AC172" s="1">
        <f>'Model output'!$B$23*tips_table!$N172</f>
        <v>4.7951444736681577</v>
      </c>
      <c r="AD172" s="12">
        <f t="shared" si="19"/>
        <v>5.894426474241909</v>
      </c>
    </row>
    <row r="173" spans="1:30" x14ac:dyDescent="0.3">
      <c r="A173" s="1" t="s">
        <v>11</v>
      </c>
      <c r="B173" s="1" t="s">
        <v>13</v>
      </c>
      <c r="C173" s="1" t="s">
        <v>12</v>
      </c>
      <c r="D173" s="1" t="s">
        <v>10</v>
      </c>
      <c r="E173" s="1">
        <v>2</v>
      </c>
      <c r="F173" s="12">
        <v>15.81</v>
      </c>
      <c r="G173" s="12">
        <v>3.16</v>
      </c>
      <c r="I173" s="1">
        <f t="shared" si="14"/>
        <v>1</v>
      </c>
      <c r="J173" s="1">
        <f t="shared" si="15"/>
        <v>2</v>
      </c>
      <c r="K173" s="1">
        <f t="shared" si="16"/>
        <v>1</v>
      </c>
      <c r="L173" s="1">
        <f t="shared" si="20"/>
        <v>3</v>
      </c>
      <c r="M173" s="1">
        <v>2</v>
      </c>
      <c r="N173" s="12">
        <v>15.81</v>
      </c>
      <c r="O173" s="12">
        <v>3.16</v>
      </c>
      <c r="P173" s="12">
        <f>'Model output'!$B$17+'Model output'!$B$18*tips_table!$I173+'Model output'!$B$19*tips_table!$J173+'Model output'!$B$20*tips_table!$K173+'Model output'!$B$21*tips_table!$L173+'Model output'!$B$22*tips_table!$M173+'Model output'!$B$23*tips_table!$N173</f>
        <v>2.4174023017151427</v>
      </c>
      <c r="Q173" s="8">
        <f t="shared" si="17"/>
        <v>0.74259769828485744</v>
      </c>
      <c r="R173" s="16">
        <f t="shared" si="18"/>
        <v>0.55145134149796815</v>
      </c>
      <c r="W173" s="1">
        <v>0.75944339705833919</v>
      </c>
      <c r="X173" s="1">
        <f>'Model output'!$B$18*tips_table!$I173</f>
        <v>3.7183538040686311E-2</v>
      </c>
      <c r="Y173" s="1">
        <f>'Model output'!$B$20*tips_table!$K173</f>
        <v>8.8727762736486165E-2</v>
      </c>
      <c r="Z173" s="1">
        <f>'Model output'!$B$19*tips_table!$J173</f>
        <v>-0.14737551705234733</v>
      </c>
      <c r="AA173" s="1">
        <f>'Model output'!$B$21*tips_table!$L173</f>
        <v>-0.16049652843020407</v>
      </c>
      <c r="AB173" s="1">
        <f>'Model output'!$B$22*tips_table!$M173</f>
        <v>0.34786623214719364</v>
      </c>
      <c r="AC173" s="1">
        <f>'Model output'!$B$23*tips_table!$N173</f>
        <v>1.4920534172149886</v>
      </c>
      <c r="AD173" s="12">
        <f t="shared" si="19"/>
        <v>2.4174023017151427</v>
      </c>
    </row>
    <row r="174" spans="1:30" x14ac:dyDescent="0.3">
      <c r="A174" s="1" t="s">
        <v>11</v>
      </c>
      <c r="B174" s="1" t="s">
        <v>13</v>
      </c>
      <c r="C174" s="1" t="s">
        <v>9</v>
      </c>
      <c r="D174" s="1" t="s">
        <v>10</v>
      </c>
      <c r="E174" s="1">
        <v>2</v>
      </c>
      <c r="F174" s="12">
        <v>7.25</v>
      </c>
      <c r="G174" s="12">
        <v>5.15</v>
      </c>
      <c r="I174" s="1">
        <f t="shared" si="14"/>
        <v>1</v>
      </c>
      <c r="J174" s="1">
        <f t="shared" si="15"/>
        <v>2</v>
      </c>
      <c r="K174" s="1">
        <f t="shared" si="16"/>
        <v>1</v>
      </c>
      <c r="L174" s="1">
        <f t="shared" si="20"/>
        <v>1</v>
      </c>
      <c r="M174" s="1">
        <v>2</v>
      </c>
      <c r="N174" s="12">
        <v>7.25</v>
      </c>
      <c r="O174" s="12">
        <v>5.15</v>
      </c>
      <c r="P174" s="12">
        <f>'Model output'!$B$17+'Model output'!$B$18*tips_table!$I174+'Model output'!$B$19*tips_table!$J174+'Model output'!$B$20*tips_table!$K174+'Model output'!$B$21*tips_table!$L174+'Model output'!$B$22*tips_table!$M174+'Model output'!$B$23*tips_table!$N174</f>
        <v>1.7165582889570179</v>
      </c>
      <c r="Q174" s="8">
        <f t="shared" si="17"/>
        <v>3.4334417110429825</v>
      </c>
      <c r="R174" s="16">
        <f t="shared" si="18"/>
        <v>11.788521983129764</v>
      </c>
      <c r="W174" s="1">
        <v>0.75944339705833919</v>
      </c>
      <c r="X174" s="1">
        <f>'Model output'!$B$18*tips_table!$I174</f>
        <v>3.7183538040686311E-2</v>
      </c>
      <c r="Y174" s="1">
        <f>'Model output'!$B$20*tips_table!$K174</f>
        <v>8.8727762736486165E-2</v>
      </c>
      <c r="Z174" s="1">
        <f>'Model output'!$B$19*tips_table!$J174</f>
        <v>-0.14737551705234733</v>
      </c>
      <c r="AA174" s="1">
        <f>'Model output'!$B$21*tips_table!$L174</f>
        <v>-5.3498842810068024E-2</v>
      </c>
      <c r="AB174" s="1">
        <f>'Model output'!$B$22*tips_table!$M174</f>
        <v>0.34786623214719364</v>
      </c>
      <c r="AC174" s="1">
        <f>'Model output'!$B$23*tips_table!$N174</f>
        <v>0.68421171883672782</v>
      </c>
      <c r="AD174" s="12">
        <f t="shared" si="19"/>
        <v>1.7165582889570179</v>
      </c>
    </row>
    <row r="175" spans="1:30" x14ac:dyDescent="0.3">
      <c r="A175" s="1" t="s">
        <v>11</v>
      </c>
      <c r="B175" s="1" t="s">
        <v>13</v>
      </c>
      <c r="C175" s="1" t="s">
        <v>9</v>
      </c>
      <c r="D175" s="1" t="s">
        <v>10</v>
      </c>
      <c r="E175" s="1">
        <v>2</v>
      </c>
      <c r="F175" s="12">
        <v>31.85</v>
      </c>
      <c r="G175" s="12">
        <v>3.18</v>
      </c>
      <c r="I175" s="1">
        <f t="shared" si="14"/>
        <v>1</v>
      </c>
      <c r="J175" s="1">
        <f t="shared" si="15"/>
        <v>2</v>
      </c>
      <c r="K175" s="1">
        <f t="shared" si="16"/>
        <v>1</v>
      </c>
      <c r="L175" s="1">
        <f t="shared" si="20"/>
        <v>1</v>
      </c>
      <c r="M175" s="1">
        <v>2</v>
      </c>
      <c r="N175" s="12">
        <v>31.85</v>
      </c>
      <c r="O175" s="12">
        <v>3.18</v>
      </c>
      <c r="P175" s="12">
        <f>'Model output'!$B$17+'Model output'!$B$18*tips_table!$I175+'Model output'!$B$19*tips_table!$J175+'Model output'!$B$20*tips_table!$K175+'Model output'!$B$21*tips_table!$L175+'Model output'!$B$22*tips_table!$M175+'Model output'!$B$23*tips_table!$N175</f>
        <v>4.0381594314926739</v>
      </c>
      <c r="Q175" s="8">
        <f t="shared" si="17"/>
        <v>-0.85815943149267371</v>
      </c>
      <c r="R175" s="16">
        <f t="shared" si="18"/>
        <v>0.73643760985982898</v>
      </c>
      <c r="W175" s="1">
        <v>0.75944339705833919</v>
      </c>
      <c r="X175" s="1">
        <f>'Model output'!$B$18*tips_table!$I175</f>
        <v>3.7183538040686311E-2</v>
      </c>
      <c r="Y175" s="1">
        <f>'Model output'!$B$20*tips_table!$K175</f>
        <v>8.8727762736486165E-2</v>
      </c>
      <c r="Z175" s="1">
        <f>'Model output'!$B$19*tips_table!$J175</f>
        <v>-0.14737551705234733</v>
      </c>
      <c r="AA175" s="1">
        <f>'Model output'!$B$21*tips_table!$L175</f>
        <v>-5.3498842810068024E-2</v>
      </c>
      <c r="AB175" s="1">
        <f>'Model output'!$B$22*tips_table!$M175</f>
        <v>0.34786623214719364</v>
      </c>
      <c r="AC175" s="1">
        <f>'Model output'!$B$23*tips_table!$N175</f>
        <v>3.0058128613723838</v>
      </c>
      <c r="AD175" s="12">
        <f t="shared" si="19"/>
        <v>4.0381594314926739</v>
      </c>
    </row>
    <row r="176" spans="1:30" x14ac:dyDescent="0.3">
      <c r="A176" s="1" t="s">
        <v>11</v>
      </c>
      <c r="B176" s="1" t="s">
        <v>13</v>
      </c>
      <c r="C176" s="1" t="s">
        <v>9</v>
      </c>
      <c r="D176" s="1" t="s">
        <v>10</v>
      </c>
      <c r="E176" s="1">
        <v>2</v>
      </c>
      <c r="F176" s="12">
        <v>16.82</v>
      </c>
      <c r="G176" s="12">
        <v>4</v>
      </c>
      <c r="I176" s="1">
        <f t="shared" si="14"/>
        <v>1</v>
      </c>
      <c r="J176" s="1">
        <f t="shared" si="15"/>
        <v>2</v>
      </c>
      <c r="K176" s="1">
        <f t="shared" si="16"/>
        <v>1</v>
      </c>
      <c r="L176" s="1">
        <f t="shared" si="20"/>
        <v>1</v>
      </c>
      <c r="M176" s="1">
        <v>2</v>
      </c>
      <c r="N176" s="12">
        <v>16.82</v>
      </c>
      <c r="O176" s="12">
        <v>4</v>
      </c>
      <c r="P176" s="12">
        <f>'Model output'!$B$17+'Model output'!$B$18*tips_table!$I176+'Model output'!$B$19*tips_table!$J176+'Model output'!$B$20*tips_table!$K176+'Model output'!$B$21*tips_table!$L176+'Model output'!$B$22*tips_table!$M176+'Model output'!$B$23*tips_table!$N176</f>
        <v>2.6197177578214985</v>
      </c>
      <c r="Q176" s="8">
        <f t="shared" si="17"/>
        <v>1.3802822421785015</v>
      </c>
      <c r="R176" s="16">
        <f t="shared" si="18"/>
        <v>1.9051790680733114</v>
      </c>
      <c r="W176" s="1">
        <v>0.75944339705833919</v>
      </c>
      <c r="X176" s="1">
        <f>'Model output'!$B$18*tips_table!$I176</f>
        <v>3.7183538040686311E-2</v>
      </c>
      <c r="Y176" s="1">
        <f>'Model output'!$B$20*tips_table!$K176</f>
        <v>8.8727762736486165E-2</v>
      </c>
      <c r="Z176" s="1">
        <f>'Model output'!$B$19*tips_table!$J176</f>
        <v>-0.14737551705234733</v>
      </c>
      <c r="AA176" s="1">
        <f>'Model output'!$B$21*tips_table!$L176</f>
        <v>-5.3498842810068024E-2</v>
      </c>
      <c r="AB176" s="1">
        <f>'Model output'!$B$22*tips_table!$M176</f>
        <v>0.34786623214719364</v>
      </c>
      <c r="AC176" s="1">
        <f>'Model output'!$B$23*tips_table!$N176</f>
        <v>1.5873711877012084</v>
      </c>
      <c r="AD176" s="12">
        <f t="shared" si="19"/>
        <v>2.6197177578214985</v>
      </c>
    </row>
    <row r="177" spans="1:30" x14ac:dyDescent="0.3">
      <c r="A177" s="1" t="s">
        <v>11</v>
      </c>
      <c r="B177" s="1" t="s">
        <v>13</v>
      </c>
      <c r="C177" s="1" t="s">
        <v>9</v>
      </c>
      <c r="D177" s="1" t="s">
        <v>10</v>
      </c>
      <c r="E177" s="1">
        <v>2</v>
      </c>
      <c r="F177" s="12">
        <v>32.9</v>
      </c>
      <c r="G177" s="12">
        <v>3.11</v>
      </c>
      <c r="I177" s="1">
        <f t="shared" si="14"/>
        <v>1</v>
      </c>
      <c r="J177" s="1">
        <f t="shared" si="15"/>
        <v>2</v>
      </c>
      <c r="K177" s="1">
        <f t="shared" si="16"/>
        <v>1</v>
      </c>
      <c r="L177" s="1">
        <f t="shared" si="20"/>
        <v>1</v>
      </c>
      <c r="M177" s="1">
        <v>2</v>
      </c>
      <c r="N177" s="12">
        <v>32.9</v>
      </c>
      <c r="O177" s="12">
        <v>3.11</v>
      </c>
      <c r="P177" s="12">
        <f>'Model output'!$B$17+'Model output'!$B$18*tips_table!$I177+'Model output'!$B$19*tips_table!$J177+'Model output'!$B$20*tips_table!$K177+'Model output'!$B$21*tips_table!$L177+'Model output'!$B$22*tips_table!$M177+'Model output'!$B$23*tips_table!$N177</f>
        <v>4.1372521631862682</v>
      </c>
      <c r="Q177" s="8">
        <f t="shared" si="17"/>
        <v>-1.0272521631862683</v>
      </c>
      <c r="R177" s="16">
        <f t="shared" si="18"/>
        <v>1.0552470067708677</v>
      </c>
      <c r="W177" s="1">
        <v>0.75944339705833919</v>
      </c>
      <c r="X177" s="1">
        <f>'Model output'!$B$18*tips_table!$I177</f>
        <v>3.7183538040686311E-2</v>
      </c>
      <c r="Y177" s="1">
        <f>'Model output'!$B$20*tips_table!$K177</f>
        <v>8.8727762736486165E-2</v>
      </c>
      <c r="Z177" s="1">
        <f>'Model output'!$B$19*tips_table!$J177</f>
        <v>-0.14737551705234733</v>
      </c>
      <c r="AA177" s="1">
        <f>'Model output'!$B$21*tips_table!$L177</f>
        <v>-5.3498842810068024E-2</v>
      </c>
      <c r="AB177" s="1">
        <f>'Model output'!$B$22*tips_table!$M177</f>
        <v>0.34786623214719364</v>
      </c>
      <c r="AC177" s="1">
        <f>'Model output'!$B$23*tips_table!$N177</f>
        <v>3.1049055930659786</v>
      </c>
      <c r="AD177" s="12">
        <f t="shared" si="19"/>
        <v>4.1372521631862682</v>
      </c>
    </row>
    <row r="178" spans="1:30" x14ac:dyDescent="0.3">
      <c r="A178" s="1" t="s">
        <v>11</v>
      </c>
      <c r="B178" s="1" t="s">
        <v>13</v>
      </c>
      <c r="C178" s="1" t="s">
        <v>9</v>
      </c>
      <c r="D178" s="1" t="s">
        <v>10</v>
      </c>
      <c r="E178" s="1">
        <v>2</v>
      </c>
      <c r="F178" s="12">
        <v>17.89</v>
      </c>
      <c r="G178" s="12">
        <v>2</v>
      </c>
      <c r="I178" s="1">
        <f t="shared" si="14"/>
        <v>1</v>
      </c>
      <c r="J178" s="1">
        <f t="shared" si="15"/>
        <v>2</v>
      </c>
      <c r="K178" s="1">
        <f t="shared" si="16"/>
        <v>1</v>
      </c>
      <c r="L178" s="1">
        <f t="shared" si="20"/>
        <v>1</v>
      </c>
      <c r="M178" s="1">
        <v>2</v>
      </c>
      <c r="N178" s="12">
        <v>17.89</v>
      </c>
      <c r="O178" s="12">
        <v>2</v>
      </c>
      <c r="P178" s="12">
        <f>'Model output'!$B$17+'Model output'!$B$18*tips_table!$I178+'Model output'!$B$19*tips_table!$J178+'Model output'!$B$20*tips_table!$K178+'Model output'!$B$21*tips_table!$L178+'Model output'!$B$22*tips_table!$M178+'Model output'!$B$23*tips_table!$N178</f>
        <v>2.7206979701187812</v>
      </c>
      <c r="Q178" s="8">
        <f t="shared" si="17"/>
        <v>-0.72069797011878123</v>
      </c>
      <c r="R178" s="16">
        <f t="shared" si="18"/>
        <v>0.51940556413333172</v>
      </c>
      <c r="W178" s="1">
        <v>0.75944339705833919</v>
      </c>
      <c r="X178" s="1">
        <f>'Model output'!$B$18*tips_table!$I178</f>
        <v>3.7183538040686311E-2</v>
      </c>
      <c r="Y178" s="1">
        <f>'Model output'!$B$20*tips_table!$K178</f>
        <v>8.8727762736486165E-2</v>
      </c>
      <c r="Z178" s="1">
        <f>'Model output'!$B$19*tips_table!$J178</f>
        <v>-0.14737551705234733</v>
      </c>
      <c r="AA178" s="1">
        <f>'Model output'!$B$21*tips_table!$L178</f>
        <v>-5.3498842810068024E-2</v>
      </c>
      <c r="AB178" s="1">
        <f>'Model output'!$B$22*tips_table!$M178</f>
        <v>0.34786623214719364</v>
      </c>
      <c r="AC178" s="1">
        <f>'Model output'!$B$23*tips_table!$N178</f>
        <v>1.6883513999984912</v>
      </c>
      <c r="AD178" s="12">
        <f t="shared" si="19"/>
        <v>2.7206979701187812</v>
      </c>
    </row>
    <row r="179" spans="1:30" x14ac:dyDescent="0.3">
      <c r="A179" s="1" t="s">
        <v>11</v>
      </c>
      <c r="B179" s="1" t="s">
        <v>13</v>
      </c>
      <c r="C179" s="1" t="s">
        <v>9</v>
      </c>
      <c r="D179" s="1" t="s">
        <v>10</v>
      </c>
      <c r="E179" s="1">
        <v>2</v>
      </c>
      <c r="F179" s="12">
        <v>14.48</v>
      </c>
      <c r="G179" s="12">
        <v>2</v>
      </c>
      <c r="I179" s="1">
        <f t="shared" si="14"/>
        <v>1</v>
      </c>
      <c r="J179" s="1">
        <f t="shared" si="15"/>
        <v>2</v>
      </c>
      <c r="K179" s="1">
        <f t="shared" si="16"/>
        <v>1</v>
      </c>
      <c r="L179" s="1">
        <f t="shared" si="20"/>
        <v>1</v>
      </c>
      <c r="M179" s="1">
        <v>2</v>
      </c>
      <c r="N179" s="12">
        <v>14.48</v>
      </c>
      <c r="O179" s="12">
        <v>2</v>
      </c>
      <c r="P179" s="12">
        <f>'Model output'!$B$17+'Model output'!$B$18*tips_table!$I179+'Model output'!$B$19*tips_table!$J179+'Model output'!$B$20*tips_table!$K179+'Model output'!$B$21*tips_table!$L179+'Model output'!$B$22*tips_table!$M179+'Model output'!$B$23*tips_table!$N179</f>
        <v>2.3988825271900582</v>
      </c>
      <c r="Q179" s="8">
        <f t="shared" si="17"/>
        <v>-0.39888252719005823</v>
      </c>
      <c r="R179" s="16">
        <f t="shared" si="18"/>
        <v>0.15910727049752754</v>
      </c>
      <c r="W179" s="1">
        <v>0.75944339705833919</v>
      </c>
      <c r="X179" s="1">
        <f>'Model output'!$B$18*tips_table!$I179</f>
        <v>3.7183538040686311E-2</v>
      </c>
      <c r="Y179" s="1">
        <f>'Model output'!$B$20*tips_table!$K179</f>
        <v>8.8727762736486165E-2</v>
      </c>
      <c r="Z179" s="1">
        <f>'Model output'!$B$19*tips_table!$J179</f>
        <v>-0.14737551705234733</v>
      </c>
      <c r="AA179" s="1">
        <f>'Model output'!$B$21*tips_table!$L179</f>
        <v>-5.3498842810068024E-2</v>
      </c>
      <c r="AB179" s="1">
        <f>'Model output'!$B$22*tips_table!$M179</f>
        <v>0.34786623214719364</v>
      </c>
      <c r="AC179" s="1">
        <f>'Model output'!$B$23*tips_table!$N179</f>
        <v>1.3665359570697682</v>
      </c>
      <c r="AD179" s="12">
        <f t="shared" si="19"/>
        <v>2.3988825271900582</v>
      </c>
    </row>
    <row r="180" spans="1:30" x14ac:dyDescent="0.3">
      <c r="A180" s="1" t="s">
        <v>7</v>
      </c>
      <c r="B180" s="1" t="s">
        <v>13</v>
      </c>
      <c r="C180" s="1" t="s">
        <v>9</v>
      </c>
      <c r="D180" s="1" t="s">
        <v>10</v>
      </c>
      <c r="E180" s="1">
        <v>2</v>
      </c>
      <c r="F180" s="12">
        <v>9.6</v>
      </c>
      <c r="G180" s="12">
        <v>4</v>
      </c>
      <c r="I180" s="1">
        <f t="shared" si="14"/>
        <v>2</v>
      </c>
      <c r="J180" s="1">
        <f t="shared" si="15"/>
        <v>2</v>
      </c>
      <c r="K180" s="1">
        <f t="shared" si="16"/>
        <v>1</v>
      </c>
      <c r="L180" s="1">
        <f t="shared" si="20"/>
        <v>1</v>
      </c>
      <c r="M180" s="1">
        <v>2</v>
      </c>
      <c r="N180" s="12">
        <v>9.6</v>
      </c>
      <c r="O180" s="12">
        <v>4</v>
      </c>
      <c r="P180" s="12">
        <f>'Model output'!$B$17+'Model output'!$B$18*tips_table!$I180+'Model output'!$B$19*tips_table!$J180+'Model output'!$B$20*tips_table!$K180+'Model output'!$B$21*tips_table!$L180+'Model output'!$B$22*tips_table!$M180+'Model output'!$B$23*tips_table!$N180</f>
        <v>1.9755207979309883</v>
      </c>
      <c r="Q180" s="8">
        <f t="shared" si="17"/>
        <v>2.0244792020690117</v>
      </c>
      <c r="R180" s="16">
        <f t="shared" si="18"/>
        <v>4.098516039609982</v>
      </c>
      <c r="W180" s="1">
        <v>0.75944339705833919</v>
      </c>
      <c r="X180" s="1">
        <f>'Model output'!$B$18*tips_table!$I180</f>
        <v>7.4367076081372621E-2</v>
      </c>
      <c r="Y180" s="1">
        <f>'Model output'!$B$20*tips_table!$K180</f>
        <v>8.8727762736486165E-2</v>
      </c>
      <c r="Z180" s="1">
        <f>'Model output'!$B$19*tips_table!$J180</f>
        <v>-0.14737551705234733</v>
      </c>
      <c r="AA180" s="1">
        <f>'Model output'!$B$21*tips_table!$L180</f>
        <v>-5.3498842810068024E-2</v>
      </c>
      <c r="AB180" s="1">
        <f>'Model output'!$B$22*tips_table!$M180</f>
        <v>0.34786623214719364</v>
      </c>
      <c r="AC180" s="1">
        <f>'Model output'!$B$23*tips_table!$N180</f>
        <v>0.90599068977001196</v>
      </c>
      <c r="AD180" s="12">
        <f t="shared" si="19"/>
        <v>1.9755207979309883</v>
      </c>
    </row>
    <row r="181" spans="1:30" x14ac:dyDescent="0.3">
      <c r="A181" s="1" t="s">
        <v>11</v>
      </c>
      <c r="B181" s="1" t="s">
        <v>13</v>
      </c>
      <c r="C181" s="1" t="s">
        <v>9</v>
      </c>
      <c r="D181" s="1" t="s">
        <v>10</v>
      </c>
      <c r="E181" s="1">
        <v>2</v>
      </c>
      <c r="F181" s="12">
        <v>34.630000000000003</v>
      </c>
      <c r="G181" s="12">
        <v>3.55</v>
      </c>
      <c r="I181" s="1">
        <f t="shared" si="14"/>
        <v>1</v>
      </c>
      <c r="J181" s="1">
        <f t="shared" si="15"/>
        <v>2</v>
      </c>
      <c r="K181" s="1">
        <f t="shared" si="16"/>
        <v>1</v>
      </c>
      <c r="L181" s="1">
        <f t="shared" si="20"/>
        <v>1</v>
      </c>
      <c r="M181" s="1">
        <v>2</v>
      </c>
      <c r="N181" s="12">
        <v>34.630000000000003</v>
      </c>
      <c r="O181" s="12">
        <v>3.55</v>
      </c>
      <c r="P181" s="12">
        <f>'Model output'!$B$17+'Model output'!$B$18*tips_table!$I181+'Model output'!$B$19*tips_table!$J181+'Model output'!$B$20*tips_table!$K181+'Model output'!$B$21*tips_table!$L181+'Model output'!$B$22*tips_table!$M181+'Model output'!$B$23*tips_table!$N181</f>
        <v>4.3005192354052397</v>
      </c>
      <c r="Q181" s="8">
        <f t="shared" si="17"/>
        <v>-0.7505192354052399</v>
      </c>
      <c r="R181" s="16">
        <f t="shared" si="18"/>
        <v>0.56327912271326586</v>
      </c>
      <c r="W181" s="1">
        <v>0.75944339705833919</v>
      </c>
      <c r="X181" s="1">
        <f>'Model output'!$B$18*tips_table!$I181</f>
        <v>3.7183538040686311E-2</v>
      </c>
      <c r="Y181" s="1">
        <f>'Model output'!$B$20*tips_table!$K181</f>
        <v>8.8727762736486165E-2</v>
      </c>
      <c r="Z181" s="1">
        <f>'Model output'!$B$19*tips_table!$J181</f>
        <v>-0.14737551705234733</v>
      </c>
      <c r="AA181" s="1">
        <f>'Model output'!$B$21*tips_table!$L181</f>
        <v>-5.3498842810068024E-2</v>
      </c>
      <c r="AB181" s="1">
        <f>'Model output'!$B$22*tips_table!$M181</f>
        <v>0.34786623214719364</v>
      </c>
      <c r="AC181" s="1">
        <f>'Model output'!$B$23*tips_table!$N181</f>
        <v>3.2681726652849497</v>
      </c>
      <c r="AD181" s="12">
        <f t="shared" si="19"/>
        <v>4.3005192354052397</v>
      </c>
    </row>
    <row r="182" spans="1:30" x14ac:dyDescent="0.3">
      <c r="A182" s="1" t="s">
        <v>11</v>
      </c>
      <c r="B182" s="1" t="s">
        <v>13</v>
      </c>
      <c r="C182" s="1" t="s">
        <v>9</v>
      </c>
      <c r="D182" s="1" t="s">
        <v>10</v>
      </c>
      <c r="E182" s="1">
        <v>4</v>
      </c>
      <c r="F182" s="12">
        <v>34.65</v>
      </c>
      <c r="G182" s="12">
        <v>3.68</v>
      </c>
      <c r="I182" s="1">
        <f t="shared" si="14"/>
        <v>1</v>
      </c>
      <c r="J182" s="1">
        <f t="shared" si="15"/>
        <v>2</v>
      </c>
      <c r="K182" s="1">
        <f t="shared" si="16"/>
        <v>1</v>
      </c>
      <c r="L182" s="1">
        <f t="shared" si="20"/>
        <v>1</v>
      </c>
      <c r="M182" s="1">
        <v>4</v>
      </c>
      <c r="N182" s="12">
        <v>34.65</v>
      </c>
      <c r="O182" s="12">
        <v>3.68</v>
      </c>
      <c r="P182" s="12">
        <f>'Model output'!$B$17+'Model output'!$B$18*tips_table!$I182+'Model output'!$B$19*tips_table!$J182+'Model output'!$B$20*tips_table!$K182+'Model output'!$B$21*tips_table!$L182+'Model output'!$B$22*tips_table!$M182+'Model output'!$B$23*tips_table!$N182</f>
        <v>4.65027294815612</v>
      </c>
      <c r="Q182" s="8">
        <f t="shared" si="17"/>
        <v>-0.97027294815611986</v>
      </c>
      <c r="R182" s="16">
        <f t="shared" si="18"/>
        <v>0.94142959392356851</v>
      </c>
      <c r="W182" s="1">
        <v>0.75944339705833919</v>
      </c>
      <c r="X182" s="1">
        <f>'Model output'!$B$18*tips_table!$I182</f>
        <v>3.7183538040686311E-2</v>
      </c>
      <c r="Y182" s="1">
        <f>'Model output'!$B$20*tips_table!$K182</f>
        <v>8.8727762736486165E-2</v>
      </c>
      <c r="Z182" s="1">
        <f>'Model output'!$B$19*tips_table!$J182</f>
        <v>-0.14737551705234733</v>
      </c>
      <c r="AA182" s="1">
        <f>'Model output'!$B$21*tips_table!$L182</f>
        <v>-5.3498842810068024E-2</v>
      </c>
      <c r="AB182" s="1">
        <f>'Model output'!$B$22*tips_table!$M182</f>
        <v>0.69573246429438729</v>
      </c>
      <c r="AC182" s="1">
        <f>'Model output'!$B$23*tips_table!$N182</f>
        <v>3.2700601458886367</v>
      </c>
      <c r="AD182" s="12">
        <f t="shared" si="19"/>
        <v>4.65027294815612</v>
      </c>
    </row>
    <row r="183" spans="1:30" x14ac:dyDescent="0.3">
      <c r="A183" s="1" t="s">
        <v>11</v>
      </c>
      <c r="B183" s="1" t="s">
        <v>13</v>
      </c>
      <c r="C183" s="1" t="s">
        <v>9</v>
      </c>
      <c r="D183" s="1" t="s">
        <v>10</v>
      </c>
      <c r="E183" s="1">
        <v>2</v>
      </c>
      <c r="F183" s="12">
        <v>23.33</v>
      </c>
      <c r="G183" s="12">
        <v>5.65</v>
      </c>
      <c r="I183" s="1">
        <f t="shared" si="14"/>
        <v>1</v>
      </c>
      <c r="J183" s="1">
        <f t="shared" si="15"/>
        <v>2</v>
      </c>
      <c r="K183" s="1">
        <f t="shared" si="16"/>
        <v>1</v>
      </c>
      <c r="L183" s="1">
        <f t="shared" si="20"/>
        <v>1</v>
      </c>
      <c r="M183" s="1">
        <v>2</v>
      </c>
      <c r="N183" s="12">
        <v>23.33</v>
      </c>
      <c r="O183" s="12">
        <v>5.65</v>
      </c>
      <c r="P183" s="12">
        <f>'Model output'!$B$17+'Model output'!$B$18*tips_table!$I183+'Model output'!$B$19*tips_table!$J183+'Model output'!$B$20*tips_table!$K183+'Model output'!$B$21*tips_table!$L183+'Model output'!$B$22*tips_table!$M183+'Model output'!$B$23*tips_table!$N183</f>
        <v>3.2340926943217876</v>
      </c>
      <c r="Q183" s="8">
        <f t="shared" si="17"/>
        <v>2.4159073056782128</v>
      </c>
      <c r="R183" s="16">
        <f t="shared" si="18"/>
        <v>5.8366081096293616</v>
      </c>
      <c r="W183" s="1">
        <v>0.75944339705833919</v>
      </c>
      <c r="X183" s="1">
        <f>'Model output'!$B$18*tips_table!$I183</f>
        <v>3.7183538040686311E-2</v>
      </c>
      <c r="Y183" s="1">
        <f>'Model output'!$B$20*tips_table!$K183</f>
        <v>8.8727762736486165E-2</v>
      </c>
      <c r="Z183" s="1">
        <f>'Model output'!$B$19*tips_table!$J183</f>
        <v>-0.14737551705234733</v>
      </c>
      <c r="AA183" s="1">
        <f>'Model output'!$B$21*tips_table!$L183</f>
        <v>-5.3498842810068024E-2</v>
      </c>
      <c r="AB183" s="1">
        <f>'Model output'!$B$22*tips_table!$M183</f>
        <v>0.34786623214719364</v>
      </c>
      <c r="AC183" s="1">
        <f>'Model output'!$B$23*tips_table!$N183</f>
        <v>2.2017461242014975</v>
      </c>
      <c r="AD183" s="12">
        <f t="shared" si="19"/>
        <v>3.2340926943217876</v>
      </c>
    </row>
    <row r="184" spans="1:30" x14ac:dyDescent="0.3">
      <c r="A184" s="1" t="s">
        <v>11</v>
      </c>
      <c r="B184" s="1" t="s">
        <v>13</v>
      </c>
      <c r="C184" s="1" t="s">
        <v>9</v>
      </c>
      <c r="D184" s="1" t="s">
        <v>10</v>
      </c>
      <c r="E184" s="1">
        <v>3</v>
      </c>
      <c r="F184" s="12">
        <v>45.35</v>
      </c>
      <c r="G184" s="12">
        <v>3.5</v>
      </c>
      <c r="I184" s="1">
        <f t="shared" si="14"/>
        <v>1</v>
      </c>
      <c r="J184" s="1">
        <f t="shared" si="15"/>
        <v>2</v>
      </c>
      <c r="K184" s="1">
        <f t="shared" si="16"/>
        <v>1</v>
      </c>
      <c r="L184" s="1">
        <f t="shared" si="20"/>
        <v>1</v>
      </c>
      <c r="M184" s="1">
        <v>3</v>
      </c>
      <c r="N184" s="12">
        <v>45.35</v>
      </c>
      <c r="O184" s="12">
        <v>3.5</v>
      </c>
      <c r="P184" s="12">
        <f>'Model output'!$B$17+'Model output'!$B$18*tips_table!$I184+'Model output'!$B$19*tips_table!$J184+'Model output'!$B$20*tips_table!$K184+'Model output'!$B$21*tips_table!$L184+'Model output'!$B$22*tips_table!$M184+'Model output'!$B$23*tips_table!$N184</f>
        <v>5.4861419550553503</v>
      </c>
      <c r="Q184" s="8">
        <f t="shared" si="17"/>
        <v>-1.9861419550553503</v>
      </c>
      <c r="R184" s="16">
        <f t="shared" si="18"/>
        <v>3.9447598656310889</v>
      </c>
      <c r="W184" s="1">
        <v>0.75944339705833919</v>
      </c>
      <c r="X184" s="1">
        <f>'Model output'!$B$18*tips_table!$I184</f>
        <v>3.7183538040686311E-2</v>
      </c>
      <c r="Y184" s="1">
        <f>'Model output'!$B$20*tips_table!$K184</f>
        <v>8.8727762736486165E-2</v>
      </c>
      <c r="Z184" s="1">
        <f>'Model output'!$B$19*tips_table!$J184</f>
        <v>-0.14737551705234733</v>
      </c>
      <c r="AA184" s="1">
        <f>'Model output'!$B$21*tips_table!$L184</f>
        <v>-5.3498842810068024E-2</v>
      </c>
      <c r="AB184" s="1">
        <f>'Model output'!$B$22*tips_table!$M184</f>
        <v>0.52179934822079044</v>
      </c>
      <c r="AC184" s="1">
        <f>'Model output'!$B$23*tips_table!$N184</f>
        <v>4.2798622688614634</v>
      </c>
      <c r="AD184" s="12">
        <f t="shared" si="19"/>
        <v>5.4861419550553503</v>
      </c>
    </row>
    <row r="185" spans="1:30" x14ac:dyDescent="0.3">
      <c r="A185" s="1" t="s">
        <v>11</v>
      </c>
      <c r="B185" s="1" t="s">
        <v>13</v>
      </c>
      <c r="C185" s="1" t="s">
        <v>9</v>
      </c>
      <c r="D185" s="1" t="s">
        <v>10</v>
      </c>
      <c r="E185" s="1">
        <v>4</v>
      </c>
      <c r="F185" s="12">
        <v>23.17</v>
      </c>
      <c r="G185" s="12">
        <v>6.5</v>
      </c>
      <c r="I185" s="1">
        <f t="shared" si="14"/>
        <v>1</v>
      </c>
      <c r="J185" s="1">
        <f t="shared" si="15"/>
        <v>2</v>
      </c>
      <c r="K185" s="1">
        <f t="shared" si="16"/>
        <v>1</v>
      </c>
      <c r="L185" s="1">
        <f t="shared" si="20"/>
        <v>1</v>
      </c>
      <c r="M185" s="1">
        <v>4</v>
      </c>
      <c r="N185" s="12">
        <v>23.17</v>
      </c>
      <c r="O185" s="12">
        <v>6.5</v>
      </c>
      <c r="P185" s="12">
        <f>'Model output'!$B$17+'Model output'!$B$18*tips_table!$I185+'Model output'!$B$19*tips_table!$J185+'Model output'!$B$20*tips_table!$K185+'Model output'!$B$21*tips_table!$L185+'Model output'!$B$22*tips_table!$M185+'Model output'!$B$23*tips_table!$N185</f>
        <v>3.5668590816394814</v>
      </c>
      <c r="Q185" s="8">
        <f t="shared" si="17"/>
        <v>2.9331409183605186</v>
      </c>
      <c r="R185" s="16">
        <f t="shared" si="18"/>
        <v>8.6033156469607857</v>
      </c>
      <c r="W185" s="1">
        <v>0.75944339705833919</v>
      </c>
      <c r="X185" s="1">
        <f>'Model output'!$B$18*tips_table!$I185</f>
        <v>3.7183538040686311E-2</v>
      </c>
      <c r="Y185" s="1">
        <f>'Model output'!$B$20*tips_table!$K185</f>
        <v>8.8727762736486165E-2</v>
      </c>
      <c r="Z185" s="1">
        <f>'Model output'!$B$19*tips_table!$J185</f>
        <v>-0.14737551705234733</v>
      </c>
      <c r="AA185" s="1">
        <f>'Model output'!$B$21*tips_table!$L185</f>
        <v>-5.3498842810068024E-2</v>
      </c>
      <c r="AB185" s="1">
        <f>'Model output'!$B$22*tips_table!$M185</f>
        <v>0.69573246429438729</v>
      </c>
      <c r="AC185" s="1">
        <f>'Model output'!$B$23*tips_table!$N185</f>
        <v>2.1866462793719976</v>
      </c>
      <c r="AD185" s="12">
        <f t="shared" si="19"/>
        <v>3.5668590816394814</v>
      </c>
    </row>
    <row r="186" spans="1:30" x14ac:dyDescent="0.3">
      <c r="A186" s="1" t="s">
        <v>11</v>
      </c>
      <c r="B186" s="1" t="s">
        <v>13</v>
      </c>
      <c r="C186" s="1" t="s">
        <v>9</v>
      </c>
      <c r="D186" s="1" t="s">
        <v>10</v>
      </c>
      <c r="E186" s="1">
        <v>2</v>
      </c>
      <c r="F186" s="12">
        <v>40.549999999999997</v>
      </c>
      <c r="G186" s="12">
        <v>3</v>
      </c>
      <c r="I186" s="1">
        <f t="shared" si="14"/>
        <v>1</v>
      </c>
      <c r="J186" s="1">
        <f t="shared" si="15"/>
        <v>2</v>
      </c>
      <c r="K186" s="1">
        <f t="shared" si="16"/>
        <v>1</v>
      </c>
      <c r="L186" s="1">
        <f t="shared" si="20"/>
        <v>1</v>
      </c>
      <c r="M186" s="1">
        <v>2</v>
      </c>
      <c r="N186" s="12">
        <v>40.549999999999997</v>
      </c>
      <c r="O186" s="12">
        <v>3</v>
      </c>
      <c r="P186" s="12">
        <f>'Model output'!$B$17+'Model output'!$B$18*tips_table!$I186+'Model output'!$B$19*tips_table!$J186+'Model output'!$B$20*tips_table!$K186+'Model output'!$B$21*tips_table!$L186+'Model output'!$B$22*tips_table!$M186+'Model output'!$B$23*tips_table!$N186</f>
        <v>4.8592134940967462</v>
      </c>
      <c r="Q186" s="8">
        <f t="shared" si="17"/>
        <v>-1.8592134940967462</v>
      </c>
      <c r="R186" s="16">
        <f t="shared" si="18"/>
        <v>3.4566748166314318</v>
      </c>
      <c r="W186" s="1">
        <v>0.75944339705833919</v>
      </c>
      <c r="X186" s="1">
        <f>'Model output'!$B$18*tips_table!$I186</f>
        <v>3.7183538040686311E-2</v>
      </c>
      <c r="Y186" s="1">
        <f>'Model output'!$B$20*tips_table!$K186</f>
        <v>8.8727762736486165E-2</v>
      </c>
      <c r="Z186" s="1">
        <f>'Model output'!$B$19*tips_table!$J186</f>
        <v>-0.14737551705234733</v>
      </c>
      <c r="AA186" s="1">
        <f>'Model output'!$B$21*tips_table!$L186</f>
        <v>-5.3498842810068024E-2</v>
      </c>
      <c r="AB186" s="1">
        <f>'Model output'!$B$22*tips_table!$M186</f>
        <v>0.34786623214719364</v>
      </c>
      <c r="AC186" s="1">
        <f>'Model output'!$B$23*tips_table!$N186</f>
        <v>3.8268669239764566</v>
      </c>
      <c r="AD186" s="12">
        <f t="shared" si="19"/>
        <v>4.8592134940967462</v>
      </c>
    </row>
    <row r="187" spans="1:30" x14ac:dyDescent="0.3">
      <c r="A187" s="1" t="s">
        <v>11</v>
      </c>
      <c r="B187" s="1" t="s">
        <v>8</v>
      </c>
      <c r="C187" s="1" t="s">
        <v>9</v>
      </c>
      <c r="D187" s="1" t="s">
        <v>10</v>
      </c>
      <c r="E187" s="1">
        <v>5</v>
      </c>
      <c r="F187" s="12">
        <v>20.69</v>
      </c>
      <c r="G187" s="12">
        <v>5</v>
      </c>
      <c r="I187" s="1">
        <f t="shared" si="14"/>
        <v>1</v>
      </c>
      <c r="J187" s="1">
        <f t="shared" si="15"/>
        <v>1</v>
      </c>
      <c r="K187" s="1">
        <f t="shared" si="16"/>
        <v>1</v>
      </c>
      <c r="L187" s="1">
        <f t="shared" si="20"/>
        <v>1</v>
      </c>
      <c r="M187" s="1">
        <v>5</v>
      </c>
      <c r="N187" s="12">
        <v>20.69</v>
      </c>
      <c r="O187" s="12">
        <v>5</v>
      </c>
      <c r="P187" s="12">
        <f>'Model output'!$B$17+'Model output'!$B$18*tips_table!$I187+'Model output'!$B$19*tips_table!$J187+'Model output'!$B$20*tips_table!$K187+'Model output'!$B$21*tips_table!$L187+'Model output'!$B$22*tips_table!$M187+'Model output'!$B$23*tips_table!$N187</f>
        <v>3.5804323613819991</v>
      </c>
      <c r="Q187" s="8">
        <f t="shared" si="17"/>
        <v>1.4195676386180009</v>
      </c>
      <c r="R187" s="16">
        <f t="shared" si="18"/>
        <v>2.0151722806114871</v>
      </c>
      <c r="W187" s="1">
        <v>0.75944339705833919</v>
      </c>
      <c r="X187" s="1">
        <f>'Model output'!$B$18*tips_table!$I187</f>
        <v>3.7183538040686311E-2</v>
      </c>
      <c r="Y187" s="1">
        <f>'Model output'!$B$20*tips_table!$K187</f>
        <v>8.8727762736486165E-2</v>
      </c>
      <c r="Z187" s="1">
        <f>'Model output'!$B$19*tips_table!$J187</f>
        <v>-7.3687758526173666E-2</v>
      </c>
      <c r="AA187" s="1">
        <f>'Model output'!$B$21*tips_table!$L187</f>
        <v>-5.3498842810068024E-2</v>
      </c>
      <c r="AB187" s="1">
        <f>'Model output'!$B$22*tips_table!$M187</f>
        <v>0.86966558036798414</v>
      </c>
      <c r="AC187" s="1">
        <f>'Model output'!$B$23*tips_table!$N187</f>
        <v>1.9525986845147447</v>
      </c>
      <c r="AD187" s="12">
        <f t="shared" si="19"/>
        <v>3.5804323613819991</v>
      </c>
    </row>
    <row r="188" spans="1:30" x14ac:dyDescent="0.3">
      <c r="A188" s="1" t="s">
        <v>7</v>
      </c>
      <c r="B188" s="1" t="s">
        <v>13</v>
      </c>
      <c r="C188" s="1" t="s">
        <v>9</v>
      </c>
      <c r="D188" s="1" t="s">
        <v>10</v>
      </c>
      <c r="E188" s="1">
        <v>3</v>
      </c>
      <c r="F188" s="12">
        <v>20.9</v>
      </c>
      <c r="G188" s="12">
        <v>3.5</v>
      </c>
      <c r="I188" s="1">
        <f t="shared" si="14"/>
        <v>2</v>
      </c>
      <c r="J188" s="1">
        <f t="shared" si="15"/>
        <v>2</v>
      </c>
      <c r="K188" s="1">
        <f t="shared" si="16"/>
        <v>1</v>
      </c>
      <c r="L188" s="1">
        <f t="shared" si="20"/>
        <v>1</v>
      </c>
      <c r="M188" s="1">
        <v>3</v>
      </c>
      <c r="N188" s="12">
        <v>20.9</v>
      </c>
      <c r="O188" s="12">
        <v>3.5</v>
      </c>
      <c r="P188" s="12">
        <f>'Model output'!$B$17+'Model output'!$B$18*tips_table!$I188+'Model output'!$B$19*tips_table!$J188+'Model output'!$B$20*tips_table!$K188+'Model output'!$B$21*tips_table!$L188+'Model output'!$B$22*tips_table!$M188+'Model output'!$B$23*tips_table!$N188</f>
        <v>3.2158804550880369</v>
      </c>
      <c r="Q188" s="8">
        <f t="shared" si="17"/>
        <v>0.28411954491196312</v>
      </c>
      <c r="R188" s="16">
        <f t="shared" si="18"/>
        <v>8.0723915800981025E-2</v>
      </c>
      <c r="W188" s="1">
        <v>0.75944339705833919</v>
      </c>
      <c r="X188" s="1">
        <f>'Model output'!$B$18*tips_table!$I188</f>
        <v>7.4367076081372621E-2</v>
      </c>
      <c r="Y188" s="1">
        <f>'Model output'!$B$20*tips_table!$K188</f>
        <v>8.8727762736486165E-2</v>
      </c>
      <c r="Z188" s="1">
        <f>'Model output'!$B$19*tips_table!$J188</f>
        <v>-0.14737551705234733</v>
      </c>
      <c r="AA188" s="1">
        <f>'Model output'!$B$21*tips_table!$L188</f>
        <v>-5.3498842810068024E-2</v>
      </c>
      <c r="AB188" s="1">
        <f>'Model output'!$B$22*tips_table!$M188</f>
        <v>0.52179934822079044</v>
      </c>
      <c r="AC188" s="1">
        <f>'Model output'!$B$23*tips_table!$N188</f>
        <v>1.9724172308534635</v>
      </c>
      <c r="AD188" s="12">
        <f t="shared" si="19"/>
        <v>3.2158804550880369</v>
      </c>
    </row>
    <row r="189" spans="1:30" x14ac:dyDescent="0.3">
      <c r="A189" s="1" t="s">
        <v>11</v>
      </c>
      <c r="B189" s="1" t="s">
        <v>13</v>
      </c>
      <c r="C189" s="1" t="s">
        <v>9</v>
      </c>
      <c r="D189" s="1" t="s">
        <v>10</v>
      </c>
      <c r="E189" s="1">
        <v>5</v>
      </c>
      <c r="F189" s="12">
        <v>30.46</v>
      </c>
      <c r="G189" s="12">
        <v>2</v>
      </c>
      <c r="I189" s="1">
        <f t="shared" si="14"/>
        <v>1</v>
      </c>
      <c r="J189" s="1">
        <f t="shared" si="15"/>
        <v>2</v>
      </c>
      <c r="K189" s="1">
        <f t="shared" si="16"/>
        <v>1</v>
      </c>
      <c r="L189" s="1">
        <f t="shared" si="20"/>
        <v>1</v>
      </c>
      <c r="M189" s="1">
        <v>5</v>
      </c>
      <c r="N189" s="12">
        <v>30.46</v>
      </c>
      <c r="O189" s="12">
        <v>2</v>
      </c>
      <c r="P189" s="12">
        <f>'Model output'!$B$17+'Model output'!$B$18*tips_table!$I189+'Model output'!$B$19*tips_table!$J189+'Model output'!$B$20*tips_table!$K189+'Model output'!$B$21*tips_table!$L189+'Model output'!$B$22*tips_table!$M189+'Model output'!$B$23*tips_table!$N189</f>
        <v>4.428778877757181</v>
      </c>
      <c r="Q189" s="8">
        <f t="shared" si="17"/>
        <v>-2.428778877757181</v>
      </c>
      <c r="R189" s="16">
        <f t="shared" si="18"/>
        <v>5.8989668370394321</v>
      </c>
      <c r="W189" s="1">
        <v>0.75944339705833919</v>
      </c>
      <c r="X189" s="1">
        <f>'Model output'!$B$18*tips_table!$I189</f>
        <v>3.7183538040686311E-2</v>
      </c>
      <c r="Y189" s="1">
        <f>'Model output'!$B$20*tips_table!$K189</f>
        <v>8.8727762736486165E-2</v>
      </c>
      <c r="Z189" s="1">
        <f>'Model output'!$B$19*tips_table!$J189</f>
        <v>-0.14737551705234733</v>
      </c>
      <c r="AA189" s="1">
        <f>'Model output'!$B$21*tips_table!$L189</f>
        <v>-5.3498842810068024E-2</v>
      </c>
      <c r="AB189" s="1">
        <f>'Model output'!$B$22*tips_table!$M189</f>
        <v>0.86966558036798414</v>
      </c>
      <c r="AC189" s="1">
        <f>'Model output'!$B$23*tips_table!$N189</f>
        <v>2.8746329594161004</v>
      </c>
      <c r="AD189" s="12">
        <f t="shared" si="19"/>
        <v>4.428778877757181</v>
      </c>
    </row>
    <row r="190" spans="1:30" x14ac:dyDescent="0.3">
      <c r="A190" s="1" t="s">
        <v>7</v>
      </c>
      <c r="B190" s="1" t="s">
        <v>13</v>
      </c>
      <c r="C190" s="1" t="s">
        <v>9</v>
      </c>
      <c r="D190" s="1" t="s">
        <v>10</v>
      </c>
      <c r="E190" s="1">
        <v>3</v>
      </c>
      <c r="F190" s="12">
        <v>18.149999999999999</v>
      </c>
      <c r="G190" s="12">
        <v>3.5</v>
      </c>
      <c r="I190" s="1">
        <f t="shared" si="14"/>
        <v>2</v>
      </c>
      <c r="J190" s="1">
        <f t="shared" si="15"/>
        <v>2</v>
      </c>
      <c r="K190" s="1">
        <f t="shared" si="16"/>
        <v>1</v>
      </c>
      <c r="L190" s="1">
        <f t="shared" si="20"/>
        <v>1</v>
      </c>
      <c r="M190" s="1">
        <v>3</v>
      </c>
      <c r="N190" s="12">
        <v>18.149999999999999</v>
      </c>
      <c r="O190" s="12">
        <v>3.5</v>
      </c>
      <c r="P190" s="12">
        <f>'Model output'!$B$17+'Model output'!$B$18*tips_table!$I190+'Model output'!$B$19*tips_table!$J190+'Model output'!$B$20*tips_table!$K190+'Model output'!$B$21*tips_table!$L190+'Model output'!$B$22*tips_table!$M190+'Model output'!$B$23*tips_table!$N190</f>
        <v>2.9563518720810018</v>
      </c>
      <c r="Q190" s="8">
        <f t="shared" si="17"/>
        <v>0.54364812791899819</v>
      </c>
      <c r="R190" s="16">
        <f t="shared" si="18"/>
        <v>0.29555328698983141</v>
      </c>
      <c r="W190" s="1">
        <v>0.75944339705833919</v>
      </c>
      <c r="X190" s="1">
        <f>'Model output'!$B$18*tips_table!$I190</f>
        <v>7.4367076081372621E-2</v>
      </c>
      <c r="Y190" s="1">
        <f>'Model output'!$B$20*tips_table!$K190</f>
        <v>8.8727762736486165E-2</v>
      </c>
      <c r="Z190" s="1">
        <f>'Model output'!$B$19*tips_table!$J190</f>
        <v>-0.14737551705234733</v>
      </c>
      <c r="AA190" s="1">
        <f>'Model output'!$B$21*tips_table!$L190</f>
        <v>-5.3498842810068024E-2</v>
      </c>
      <c r="AB190" s="1">
        <f>'Model output'!$B$22*tips_table!$M190</f>
        <v>0.52179934822079044</v>
      </c>
      <c r="AC190" s="1">
        <f>'Model output'!$B$23*tips_table!$N190</f>
        <v>1.7128886478464287</v>
      </c>
      <c r="AD190" s="12">
        <f t="shared" si="19"/>
        <v>2.9563518720810018</v>
      </c>
    </row>
    <row r="191" spans="1:30" x14ac:dyDescent="0.3">
      <c r="A191" s="1" t="s">
        <v>11</v>
      </c>
      <c r="B191" s="1" t="s">
        <v>13</v>
      </c>
      <c r="C191" s="1" t="s">
        <v>9</v>
      </c>
      <c r="D191" s="1" t="s">
        <v>10</v>
      </c>
      <c r="E191" s="1">
        <v>3</v>
      </c>
      <c r="F191" s="12">
        <v>23.1</v>
      </c>
      <c r="G191" s="12">
        <v>4</v>
      </c>
      <c r="I191" s="1">
        <f t="shared" si="14"/>
        <v>1</v>
      </c>
      <c r="J191" s="1">
        <f t="shared" si="15"/>
        <v>2</v>
      </c>
      <c r="K191" s="1">
        <f t="shared" si="16"/>
        <v>1</v>
      </c>
      <c r="L191" s="1">
        <f t="shared" si="20"/>
        <v>1</v>
      </c>
      <c r="M191" s="1">
        <v>3</v>
      </c>
      <c r="N191" s="12">
        <v>23.1</v>
      </c>
      <c r="O191" s="12">
        <v>4</v>
      </c>
      <c r="P191" s="12">
        <f>'Model output'!$B$17+'Model output'!$B$18*tips_table!$I191+'Model output'!$B$19*tips_table!$J191+'Model output'!$B$20*tips_table!$K191+'Model output'!$B$21*tips_table!$L191+'Model output'!$B$22*tips_table!$M191+'Model output'!$B$23*tips_table!$N191</f>
        <v>3.3863197834529783</v>
      </c>
      <c r="Q191" s="8">
        <f t="shared" si="17"/>
        <v>0.61368021654702165</v>
      </c>
      <c r="R191" s="16">
        <f t="shared" si="18"/>
        <v>0.37660340818119936</v>
      </c>
      <c r="W191" s="1">
        <v>0.75944339705833919</v>
      </c>
      <c r="X191" s="1">
        <f>'Model output'!$B$18*tips_table!$I191</f>
        <v>3.7183538040686311E-2</v>
      </c>
      <c r="Y191" s="1">
        <f>'Model output'!$B$20*tips_table!$K191</f>
        <v>8.8727762736486165E-2</v>
      </c>
      <c r="Z191" s="1">
        <f>'Model output'!$B$19*tips_table!$J191</f>
        <v>-0.14737551705234733</v>
      </c>
      <c r="AA191" s="1">
        <f>'Model output'!$B$21*tips_table!$L191</f>
        <v>-5.3498842810068024E-2</v>
      </c>
      <c r="AB191" s="1">
        <f>'Model output'!$B$22*tips_table!$M191</f>
        <v>0.52179934822079044</v>
      </c>
      <c r="AC191" s="1">
        <f>'Model output'!$B$23*tips_table!$N191</f>
        <v>2.1800400972590914</v>
      </c>
      <c r="AD191" s="12">
        <f t="shared" si="19"/>
        <v>3.3863197834529783</v>
      </c>
    </row>
    <row r="192" spans="1:30" x14ac:dyDescent="0.3">
      <c r="A192" s="1" t="s">
        <v>11</v>
      </c>
      <c r="B192" s="1" t="s">
        <v>13</v>
      </c>
      <c r="C192" s="1" t="s">
        <v>9</v>
      </c>
      <c r="D192" s="1" t="s">
        <v>10</v>
      </c>
      <c r="E192" s="1">
        <v>2</v>
      </c>
      <c r="F192" s="12">
        <v>15.69</v>
      </c>
      <c r="G192" s="12">
        <v>1.5</v>
      </c>
      <c r="I192" s="1">
        <f t="shared" si="14"/>
        <v>1</v>
      </c>
      <c r="J192" s="1">
        <f t="shared" si="15"/>
        <v>2</v>
      </c>
      <c r="K192" s="1">
        <f t="shared" si="16"/>
        <v>1</v>
      </c>
      <c r="L192" s="1">
        <f t="shared" si="20"/>
        <v>1</v>
      </c>
      <c r="M192" s="1">
        <v>2</v>
      </c>
      <c r="N192" s="12">
        <v>15.69</v>
      </c>
      <c r="O192" s="12">
        <v>1.5</v>
      </c>
      <c r="P192" s="12">
        <f>'Model output'!$B$17+'Model output'!$B$18*tips_table!$I192+'Model output'!$B$19*tips_table!$J192+'Model output'!$B$20*tips_table!$K192+'Model output'!$B$21*tips_table!$L192+'Model output'!$B$22*tips_table!$M192+'Model output'!$B$23*tips_table!$N192</f>
        <v>2.5130751037131533</v>
      </c>
      <c r="Q192" s="8">
        <f t="shared" si="17"/>
        <v>-1.0130751037131533</v>
      </c>
      <c r="R192" s="16">
        <f t="shared" si="18"/>
        <v>1.0263211657634164</v>
      </c>
      <c r="W192" s="1">
        <v>0.75944339705833919</v>
      </c>
      <c r="X192" s="1">
        <f>'Model output'!$B$18*tips_table!$I192</f>
        <v>3.7183538040686311E-2</v>
      </c>
      <c r="Y192" s="1">
        <f>'Model output'!$B$20*tips_table!$K192</f>
        <v>8.8727762736486165E-2</v>
      </c>
      <c r="Z192" s="1">
        <f>'Model output'!$B$19*tips_table!$J192</f>
        <v>-0.14737551705234733</v>
      </c>
      <c r="AA192" s="1">
        <f>'Model output'!$B$21*tips_table!$L192</f>
        <v>-5.3498842810068024E-2</v>
      </c>
      <c r="AB192" s="1">
        <f>'Model output'!$B$22*tips_table!$M192</f>
        <v>0.34786623214719364</v>
      </c>
      <c r="AC192" s="1">
        <f>'Model output'!$B$23*tips_table!$N192</f>
        <v>1.4807285335928633</v>
      </c>
      <c r="AD192" s="12">
        <f t="shared" si="19"/>
        <v>2.5130751037131533</v>
      </c>
    </row>
    <row r="193" spans="1:30" x14ac:dyDescent="0.3">
      <c r="A193" s="1" t="s">
        <v>7</v>
      </c>
      <c r="B193" s="1" t="s">
        <v>13</v>
      </c>
      <c r="C193" s="1" t="s">
        <v>14</v>
      </c>
      <c r="D193" s="1" t="s">
        <v>15</v>
      </c>
      <c r="E193" s="1">
        <v>2</v>
      </c>
      <c r="F193" s="12">
        <v>19.809999999999999</v>
      </c>
      <c r="G193" s="12">
        <v>4.1900000000000004</v>
      </c>
      <c r="I193" s="1">
        <f t="shared" si="14"/>
        <v>2</v>
      </c>
      <c r="J193" s="1">
        <f t="shared" si="15"/>
        <v>2</v>
      </c>
      <c r="K193" s="1">
        <f t="shared" si="16"/>
        <v>2</v>
      </c>
      <c r="L193" s="1">
        <f t="shared" si="20"/>
        <v>4</v>
      </c>
      <c r="M193" s="1">
        <v>2</v>
      </c>
      <c r="N193" s="12">
        <v>19.809999999999999</v>
      </c>
      <c r="O193" s="12">
        <v>4.1900000000000004</v>
      </c>
      <c r="P193" s="12">
        <f>'Model output'!$B$17+'Model output'!$B$18*tips_table!$I193+'Model output'!$B$19*tips_table!$J193+'Model output'!$B$20*tips_table!$K193+'Model output'!$B$21*tips_table!$L193+'Model output'!$B$22*tips_table!$M193+'Model output'!$B$23*tips_table!$N193</f>
        <v>2.8673108804197516</v>
      </c>
      <c r="Q193" s="8">
        <f t="shared" si="17"/>
        <v>1.3226891195802488</v>
      </c>
      <c r="R193" s="16">
        <f t="shared" si="18"/>
        <v>1.7495065070559737</v>
      </c>
      <c r="W193" s="1">
        <v>0.75944339705833919</v>
      </c>
      <c r="X193" s="1">
        <f>'Model output'!$B$18*tips_table!$I193</f>
        <v>7.4367076081372621E-2</v>
      </c>
      <c r="Y193" s="1">
        <f>'Model output'!$B$20*tips_table!$K193</f>
        <v>0.17745552547297233</v>
      </c>
      <c r="Z193" s="1">
        <f>'Model output'!$B$19*tips_table!$J193</f>
        <v>-0.14737551705234733</v>
      </c>
      <c r="AA193" s="1">
        <f>'Model output'!$B$21*tips_table!$L193</f>
        <v>-0.2139953712402721</v>
      </c>
      <c r="AB193" s="1">
        <f>'Model output'!$B$22*tips_table!$M193</f>
        <v>0.34786623214719364</v>
      </c>
      <c r="AC193" s="1">
        <f>'Model output'!$B$23*tips_table!$N193</f>
        <v>1.8695495379524933</v>
      </c>
      <c r="AD193" s="12">
        <f t="shared" si="19"/>
        <v>2.867310880419752</v>
      </c>
    </row>
    <row r="194" spans="1:30" x14ac:dyDescent="0.3">
      <c r="A194" s="1" t="s">
        <v>11</v>
      </c>
      <c r="B194" s="1" t="s">
        <v>13</v>
      </c>
      <c r="C194" s="1" t="s">
        <v>14</v>
      </c>
      <c r="D194" s="1" t="s">
        <v>15</v>
      </c>
      <c r="E194" s="1">
        <v>2</v>
      </c>
      <c r="F194" s="12">
        <v>28.44</v>
      </c>
      <c r="G194" s="12">
        <v>2.56</v>
      </c>
      <c r="I194" s="1">
        <f t="shared" si="14"/>
        <v>1</v>
      </c>
      <c r="J194" s="1">
        <f t="shared" si="15"/>
        <v>2</v>
      </c>
      <c r="K194" s="1">
        <f t="shared" si="16"/>
        <v>2</v>
      </c>
      <c r="L194" s="1">
        <f t="shared" si="20"/>
        <v>4</v>
      </c>
      <c r="M194" s="1">
        <v>2</v>
      </c>
      <c r="N194" s="12">
        <v>28.44</v>
      </c>
      <c r="O194" s="12">
        <v>2.56</v>
      </c>
      <c r="P194" s="12">
        <f>'Model output'!$B$17+'Model output'!$B$18*tips_table!$I194+'Model output'!$B$19*tips_table!$J194+'Model output'!$B$20*tips_table!$K194+'Model output'!$B$21*tips_table!$L194+'Model output'!$B$22*tips_table!$M194+'Model output'!$B$23*tips_table!$N194</f>
        <v>3.6445752228702331</v>
      </c>
      <c r="Q194" s="8">
        <f t="shared" si="17"/>
        <v>-1.084575222870233</v>
      </c>
      <c r="R194" s="16">
        <f t="shared" si="18"/>
        <v>1.1763034140640156</v>
      </c>
      <c r="W194" s="1">
        <v>0.75944339705833919</v>
      </c>
      <c r="X194" s="1">
        <f>'Model output'!$B$18*tips_table!$I194</f>
        <v>3.7183538040686311E-2</v>
      </c>
      <c r="Y194" s="1">
        <f>'Model output'!$B$20*tips_table!$K194</f>
        <v>0.17745552547297233</v>
      </c>
      <c r="Z194" s="1">
        <f>'Model output'!$B$19*tips_table!$J194</f>
        <v>-0.14737551705234733</v>
      </c>
      <c r="AA194" s="1">
        <f>'Model output'!$B$21*tips_table!$L194</f>
        <v>-0.2139953712402721</v>
      </c>
      <c r="AB194" s="1">
        <f>'Model output'!$B$22*tips_table!$M194</f>
        <v>0.34786623214719364</v>
      </c>
      <c r="AC194" s="1">
        <f>'Model output'!$B$23*tips_table!$N194</f>
        <v>2.6839974184436608</v>
      </c>
      <c r="AD194" s="12">
        <f t="shared" si="19"/>
        <v>3.6445752228702331</v>
      </c>
    </row>
    <row r="195" spans="1:30" x14ac:dyDescent="0.3">
      <c r="A195" s="1" t="s">
        <v>11</v>
      </c>
      <c r="B195" s="1" t="s">
        <v>13</v>
      </c>
      <c r="C195" s="1" t="s">
        <v>14</v>
      </c>
      <c r="D195" s="1" t="s">
        <v>15</v>
      </c>
      <c r="E195" s="1">
        <v>2</v>
      </c>
      <c r="F195" s="12">
        <v>15.48</v>
      </c>
      <c r="G195" s="12">
        <v>2.02</v>
      </c>
      <c r="I195" s="1">
        <f t="shared" ref="I195:I244" si="21">IF($A195="Male",1,2)</f>
        <v>1</v>
      </c>
      <c r="J195" s="1">
        <f t="shared" ref="J195:J244" si="22">IF($B195="Yes",2,1)</f>
        <v>2</v>
      </c>
      <c r="K195" s="1">
        <f t="shared" ref="K195:K244" si="23">IF($D195="Dinner",1,2)</f>
        <v>2</v>
      </c>
      <c r="L195" s="1">
        <f t="shared" si="20"/>
        <v>4</v>
      </c>
      <c r="M195" s="1">
        <v>2</v>
      </c>
      <c r="N195" s="12">
        <v>15.48</v>
      </c>
      <c r="O195" s="12">
        <v>2.02</v>
      </c>
      <c r="P195" s="12">
        <f>'Model output'!$B$17+'Model output'!$B$18*tips_table!$I195+'Model output'!$B$19*tips_table!$J195+'Model output'!$B$20*tips_table!$K195+'Model output'!$B$21*tips_table!$L195+'Model output'!$B$22*tips_table!$M195+'Model output'!$B$23*tips_table!$N195</f>
        <v>2.4214877916807165</v>
      </c>
      <c r="Q195" s="8">
        <f t="shared" ref="Q195:Q244" si="24">O195-P195</f>
        <v>-0.40148779168071647</v>
      </c>
      <c r="R195" s="16">
        <f t="shared" ref="R195:R244" si="25">Q195^2</f>
        <v>0.16119244686865838</v>
      </c>
      <c r="W195" s="1">
        <v>0.75944339705833919</v>
      </c>
      <c r="X195" s="1">
        <f>'Model output'!$B$18*tips_table!$I195</f>
        <v>3.7183538040686311E-2</v>
      </c>
      <c r="Y195" s="1">
        <f>'Model output'!$B$20*tips_table!$K195</f>
        <v>0.17745552547297233</v>
      </c>
      <c r="Z195" s="1">
        <f>'Model output'!$B$19*tips_table!$J195</f>
        <v>-0.14737551705234733</v>
      </c>
      <c r="AA195" s="1">
        <f>'Model output'!$B$21*tips_table!$L195</f>
        <v>-0.2139953712402721</v>
      </c>
      <c r="AB195" s="1">
        <f>'Model output'!$B$22*tips_table!$M195</f>
        <v>0.34786623214719364</v>
      </c>
      <c r="AC195" s="1">
        <f>'Model output'!$B$23*tips_table!$N195</f>
        <v>1.4609099872541444</v>
      </c>
      <c r="AD195" s="12">
        <f t="shared" ref="AD195:AD244" si="26">W195+X195+Y195+Z195+AA195+AB195+AC195</f>
        <v>2.4214877916807165</v>
      </c>
    </row>
    <row r="196" spans="1:30" x14ac:dyDescent="0.3">
      <c r="A196" s="1" t="s">
        <v>11</v>
      </c>
      <c r="B196" s="1" t="s">
        <v>13</v>
      </c>
      <c r="C196" s="1" t="s">
        <v>14</v>
      </c>
      <c r="D196" s="1" t="s">
        <v>15</v>
      </c>
      <c r="E196" s="1">
        <v>2</v>
      </c>
      <c r="F196" s="12">
        <v>16.579999999999998</v>
      </c>
      <c r="G196" s="12">
        <v>4</v>
      </c>
      <c r="I196" s="1">
        <f t="shared" si="21"/>
        <v>1</v>
      </c>
      <c r="J196" s="1">
        <f t="shared" si="22"/>
        <v>2</v>
      </c>
      <c r="K196" s="1">
        <f t="shared" si="23"/>
        <v>2</v>
      </c>
      <c r="L196" s="1">
        <f t="shared" ref="L196:L244" si="27">IF($C196="Sun",1,IF($C196="fri",2,IF($C196="sat",3,IF($C196="thur",4))))</f>
        <v>4</v>
      </c>
      <c r="M196" s="1">
        <v>2</v>
      </c>
      <c r="N196" s="12">
        <v>16.579999999999998</v>
      </c>
      <c r="O196" s="12">
        <v>4</v>
      </c>
      <c r="P196" s="12">
        <f>'Model output'!$B$17+'Model output'!$B$18*tips_table!$I196+'Model output'!$B$19*tips_table!$J196+'Model output'!$B$20*tips_table!$K196+'Model output'!$B$21*tips_table!$L196+'Model output'!$B$22*tips_table!$M196+'Model output'!$B$23*tips_table!$N196</f>
        <v>2.52529922488353</v>
      </c>
      <c r="Q196" s="8">
        <f t="shared" si="24"/>
        <v>1.47470077511647</v>
      </c>
      <c r="R196" s="16">
        <f t="shared" si="25"/>
        <v>2.1747423761291174</v>
      </c>
      <c r="W196" s="1">
        <v>0.75944339705833919</v>
      </c>
      <c r="X196" s="1">
        <f>'Model output'!$B$18*tips_table!$I196</f>
        <v>3.7183538040686311E-2</v>
      </c>
      <c r="Y196" s="1">
        <f>'Model output'!$B$20*tips_table!$K196</f>
        <v>0.17745552547297233</v>
      </c>
      <c r="Z196" s="1">
        <f>'Model output'!$B$19*tips_table!$J196</f>
        <v>-0.14737551705234733</v>
      </c>
      <c r="AA196" s="1">
        <f>'Model output'!$B$21*tips_table!$L196</f>
        <v>-0.2139953712402721</v>
      </c>
      <c r="AB196" s="1">
        <f>'Model output'!$B$22*tips_table!$M196</f>
        <v>0.34786623214719364</v>
      </c>
      <c r="AC196" s="1">
        <f>'Model output'!$B$23*tips_table!$N196</f>
        <v>1.5647214204569579</v>
      </c>
      <c r="AD196" s="12">
        <f t="shared" si="26"/>
        <v>2.52529922488353</v>
      </c>
    </row>
    <row r="197" spans="1:30" x14ac:dyDescent="0.3">
      <c r="A197" s="1" t="s">
        <v>11</v>
      </c>
      <c r="B197" s="1" t="s">
        <v>8</v>
      </c>
      <c r="C197" s="1" t="s">
        <v>14</v>
      </c>
      <c r="D197" s="1" t="s">
        <v>15</v>
      </c>
      <c r="E197" s="1">
        <v>2</v>
      </c>
      <c r="F197" s="12">
        <v>7.56</v>
      </c>
      <c r="G197" s="12">
        <v>1.44</v>
      </c>
      <c r="I197" s="1">
        <f t="shared" si="21"/>
        <v>1</v>
      </c>
      <c r="J197" s="1">
        <f t="shared" si="22"/>
        <v>1</v>
      </c>
      <c r="K197" s="1">
        <f t="shared" si="23"/>
        <v>2</v>
      </c>
      <c r="L197" s="1">
        <f t="shared" si="27"/>
        <v>4</v>
      </c>
      <c r="M197" s="1">
        <v>2</v>
      </c>
      <c r="N197" s="12">
        <v>7.56</v>
      </c>
      <c r="O197" s="12">
        <v>1.44</v>
      </c>
      <c r="P197" s="12">
        <f>'Model output'!$B$17+'Model output'!$B$18*tips_table!$I197+'Model output'!$B$19*tips_table!$J197+'Model output'!$B$20*tips_table!$K197+'Model output'!$B$21*tips_table!$L197+'Model output'!$B$22*tips_table!$M197+'Model output'!$B$23*tips_table!$N197</f>
        <v>1.74773323114663</v>
      </c>
      <c r="Q197" s="8">
        <f t="shared" si="24"/>
        <v>-0.30773323114663009</v>
      </c>
      <c r="R197" s="16">
        <f t="shared" si="25"/>
        <v>9.4699741551945271E-2</v>
      </c>
      <c r="W197" s="1">
        <v>0.75944339705833919</v>
      </c>
      <c r="X197" s="1">
        <f>'Model output'!$B$18*tips_table!$I197</f>
        <v>3.7183538040686311E-2</v>
      </c>
      <c r="Y197" s="1">
        <f>'Model output'!$B$20*tips_table!$K197</f>
        <v>0.17745552547297233</v>
      </c>
      <c r="Z197" s="1">
        <f>'Model output'!$B$19*tips_table!$J197</f>
        <v>-7.3687758526173666E-2</v>
      </c>
      <c r="AA197" s="1">
        <f>'Model output'!$B$21*tips_table!$L197</f>
        <v>-0.2139953712402721</v>
      </c>
      <c r="AB197" s="1">
        <f>'Model output'!$B$22*tips_table!$M197</f>
        <v>0.34786623214719364</v>
      </c>
      <c r="AC197" s="1">
        <f>'Model output'!$B$23*tips_table!$N197</f>
        <v>0.71346766819388441</v>
      </c>
      <c r="AD197" s="12">
        <f t="shared" si="26"/>
        <v>1.74773323114663</v>
      </c>
    </row>
    <row r="198" spans="1:30" x14ac:dyDescent="0.3">
      <c r="A198" s="1" t="s">
        <v>11</v>
      </c>
      <c r="B198" s="1" t="s">
        <v>13</v>
      </c>
      <c r="C198" s="1" t="s">
        <v>14</v>
      </c>
      <c r="D198" s="1" t="s">
        <v>15</v>
      </c>
      <c r="E198" s="1">
        <v>2</v>
      </c>
      <c r="F198" s="12">
        <v>10.34</v>
      </c>
      <c r="G198" s="12">
        <v>2</v>
      </c>
      <c r="I198" s="1">
        <f t="shared" si="21"/>
        <v>1</v>
      </c>
      <c r="J198" s="1">
        <f t="shared" si="22"/>
        <v>2</v>
      </c>
      <c r="K198" s="1">
        <f t="shared" si="23"/>
        <v>2</v>
      </c>
      <c r="L198" s="1">
        <f t="shared" si="27"/>
        <v>4</v>
      </c>
      <c r="M198" s="1">
        <v>2</v>
      </c>
      <c r="N198" s="12">
        <v>10.34</v>
      </c>
      <c r="O198" s="12">
        <v>2</v>
      </c>
      <c r="P198" s="12">
        <f>'Model output'!$B$17+'Model output'!$B$18*tips_table!$I198+'Model output'!$B$19*tips_table!$J198+'Model output'!$B$20*tips_table!$K198+'Model output'!$B$21*tips_table!$L198+'Model output'!$B$22*tips_table!$M198+'Model output'!$B$23*tips_table!$N198</f>
        <v>1.9364052765330224</v>
      </c>
      <c r="Q198" s="8">
        <f t="shared" si="24"/>
        <v>6.3594723466977587E-2</v>
      </c>
      <c r="R198" s="16">
        <f t="shared" si="25"/>
        <v>4.0442888528413497E-3</v>
      </c>
      <c r="W198" s="1">
        <v>0.75944339705833919</v>
      </c>
      <c r="X198" s="1">
        <f>'Model output'!$B$18*tips_table!$I198</f>
        <v>3.7183538040686311E-2</v>
      </c>
      <c r="Y198" s="1">
        <f>'Model output'!$B$20*tips_table!$K198</f>
        <v>0.17745552547297233</v>
      </c>
      <c r="Z198" s="1">
        <f>'Model output'!$B$19*tips_table!$J198</f>
        <v>-0.14737551705234733</v>
      </c>
      <c r="AA198" s="1">
        <f>'Model output'!$B$21*tips_table!$L198</f>
        <v>-0.2139953712402721</v>
      </c>
      <c r="AB198" s="1">
        <f>'Model output'!$B$22*tips_table!$M198</f>
        <v>0.34786623214719364</v>
      </c>
      <c r="AC198" s="1">
        <f>'Model output'!$B$23*tips_table!$N198</f>
        <v>0.97582747210645038</v>
      </c>
      <c r="AD198" s="12">
        <f t="shared" si="26"/>
        <v>1.9364052765330224</v>
      </c>
    </row>
    <row r="199" spans="1:30" x14ac:dyDescent="0.3">
      <c r="A199" s="1" t="s">
        <v>7</v>
      </c>
      <c r="B199" s="1" t="s">
        <v>13</v>
      </c>
      <c r="C199" s="1" t="s">
        <v>14</v>
      </c>
      <c r="D199" s="1" t="s">
        <v>15</v>
      </c>
      <c r="E199" s="1">
        <v>4</v>
      </c>
      <c r="F199" s="12">
        <v>43.11</v>
      </c>
      <c r="G199" s="12">
        <v>5</v>
      </c>
      <c r="I199" s="1">
        <f t="shared" si="21"/>
        <v>2</v>
      </c>
      <c r="J199" s="1">
        <f t="shared" si="22"/>
        <v>2</v>
      </c>
      <c r="K199" s="1">
        <f t="shared" si="23"/>
        <v>2</v>
      </c>
      <c r="L199" s="1">
        <f t="shared" si="27"/>
        <v>4</v>
      </c>
      <c r="M199" s="1">
        <v>4</v>
      </c>
      <c r="N199" s="12">
        <v>43.11</v>
      </c>
      <c r="O199" s="12">
        <v>5</v>
      </c>
      <c r="P199" s="12">
        <f>'Model output'!$B$17+'Model output'!$B$18*tips_table!$I199+'Model output'!$B$19*tips_table!$J199+'Model output'!$B$20*tips_table!$K199+'Model output'!$B$21*tips_table!$L199+'Model output'!$B$22*tips_table!$M199+'Model output'!$B$23*tips_table!$N199</f>
        <v>5.4140920158629111</v>
      </c>
      <c r="Q199" s="8">
        <f t="shared" si="24"/>
        <v>-0.41409201586291111</v>
      </c>
      <c r="R199" s="16">
        <f t="shared" si="25"/>
        <v>0.17147219760140942</v>
      </c>
      <c r="W199" s="1">
        <v>0.75944339705833919</v>
      </c>
      <c r="X199" s="1">
        <f>'Model output'!$B$18*tips_table!$I199</f>
        <v>7.4367076081372621E-2</v>
      </c>
      <c r="Y199" s="1">
        <f>'Model output'!$B$20*tips_table!$K199</f>
        <v>0.17745552547297233</v>
      </c>
      <c r="Z199" s="1">
        <f>'Model output'!$B$19*tips_table!$J199</f>
        <v>-0.14737551705234733</v>
      </c>
      <c r="AA199" s="1">
        <f>'Model output'!$B$21*tips_table!$L199</f>
        <v>-0.2139953712402721</v>
      </c>
      <c r="AB199" s="1">
        <f>'Model output'!$B$22*tips_table!$M199</f>
        <v>0.69573246429438729</v>
      </c>
      <c r="AC199" s="1">
        <f>'Model output'!$B$23*tips_table!$N199</f>
        <v>4.0684644412484596</v>
      </c>
      <c r="AD199" s="12">
        <f t="shared" si="26"/>
        <v>5.4140920158629111</v>
      </c>
    </row>
    <row r="200" spans="1:30" x14ac:dyDescent="0.3">
      <c r="A200" s="1" t="s">
        <v>7</v>
      </c>
      <c r="B200" s="1" t="s">
        <v>13</v>
      </c>
      <c r="C200" s="1" t="s">
        <v>14</v>
      </c>
      <c r="D200" s="1" t="s">
        <v>15</v>
      </c>
      <c r="E200" s="1">
        <v>2</v>
      </c>
      <c r="F200" s="12">
        <v>13</v>
      </c>
      <c r="G200" s="12">
        <v>2</v>
      </c>
      <c r="I200" s="1">
        <f t="shared" si="21"/>
        <v>2</v>
      </c>
      <c r="J200" s="1">
        <f t="shared" si="22"/>
        <v>2</v>
      </c>
      <c r="K200" s="1">
        <f t="shared" si="23"/>
        <v>2</v>
      </c>
      <c r="L200" s="1">
        <f t="shared" si="27"/>
        <v>4</v>
      </c>
      <c r="M200" s="1">
        <v>2</v>
      </c>
      <c r="N200" s="12">
        <v>13</v>
      </c>
      <c r="O200" s="12">
        <v>2</v>
      </c>
      <c r="P200" s="12">
        <f>'Model output'!$B$17+'Model output'!$B$18*tips_table!$I200+'Model output'!$B$19*tips_table!$J200+'Model output'!$B$20*tips_table!$K200+'Model output'!$B$21*tips_table!$L200+'Model output'!$B$22*tips_table!$M200+'Model output'!$B$23*tips_table!$N200</f>
        <v>2.2246237348641493</v>
      </c>
      <c r="Q200" s="8">
        <f t="shared" si="24"/>
        <v>-0.22462373486414933</v>
      </c>
      <c r="R200" s="16">
        <f t="shared" si="25"/>
        <v>5.0455822264319654E-2</v>
      </c>
      <c r="W200" s="1">
        <v>0.75944339705833919</v>
      </c>
      <c r="X200" s="1">
        <f>'Model output'!$B$18*tips_table!$I200</f>
        <v>7.4367076081372621E-2</v>
      </c>
      <c r="Y200" s="1">
        <f>'Model output'!$B$20*tips_table!$K200</f>
        <v>0.17745552547297233</v>
      </c>
      <c r="Z200" s="1">
        <f>'Model output'!$B$19*tips_table!$J200</f>
        <v>-0.14737551705234733</v>
      </c>
      <c r="AA200" s="1">
        <f>'Model output'!$B$21*tips_table!$L200</f>
        <v>-0.2139953712402721</v>
      </c>
      <c r="AB200" s="1">
        <f>'Model output'!$B$22*tips_table!$M200</f>
        <v>0.34786623214719364</v>
      </c>
      <c r="AC200" s="1">
        <f>'Model output'!$B$23*tips_table!$N200</f>
        <v>1.2268623923968913</v>
      </c>
      <c r="AD200" s="12">
        <f t="shared" si="26"/>
        <v>2.2246237348641498</v>
      </c>
    </row>
    <row r="201" spans="1:30" x14ac:dyDescent="0.3">
      <c r="A201" s="1" t="s">
        <v>11</v>
      </c>
      <c r="B201" s="1" t="s">
        <v>13</v>
      </c>
      <c r="C201" s="1" t="s">
        <v>14</v>
      </c>
      <c r="D201" s="1" t="s">
        <v>15</v>
      </c>
      <c r="E201" s="1">
        <v>2</v>
      </c>
      <c r="F201" s="12">
        <v>13.51</v>
      </c>
      <c r="G201" s="12">
        <v>2</v>
      </c>
      <c r="I201" s="1">
        <f t="shared" si="21"/>
        <v>1</v>
      </c>
      <c r="J201" s="1">
        <f t="shared" si="22"/>
        <v>2</v>
      </c>
      <c r="K201" s="1">
        <f t="shared" si="23"/>
        <v>2</v>
      </c>
      <c r="L201" s="1">
        <f t="shared" si="27"/>
        <v>4</v>
      </c>
      <c r="M201" s="1">
        <v>2</v>
      </c>
      <c r="N201" s="12">
        <v>13.51</v>
      </c>
      <c r="O201" s="12">
        <v>2</v>
      </c>
      <c r="P201" s="12">
        <f>'Model output'!$B$17+'Model output'!$B$18*tips_table!$I201+'Model output'!$B$19*tips_table!$J201+'Model output'!$B$20*tips_table!$K201+'Model output'!$B$21*tips_table!$L201+'Model output'!$B$22*tips_table!$M201+'Model output'!$B$23*tips_table!$N201</f>
        <v>2.2355709522174951</v>
      </c>
      <c r="Q201" s="8">
        <f t="shared" si="24"/>
        <v>-0.23557095221749513</v>
      </c>
      <c r="R201" s="16">
        <f t="shared" si="25"/>
        <v>5.5493673528657375E-2</v>
      </c>
      <c r="W201" s="1">
        <v>0.75944339705833919</v>
      </c>
      <c r="X201" s="1">
        <f>'Model output'!$B$18*tips_table!$I201</f>
        <v>3.7183538040686311E-2</v>
      </c>
      <c r="Y201" s="1">
        <f>'Model output'!$B$20*tips_table!$K201</f>
        <v>0.17745552547297233</v>
      </c>
      <c r="Z201" s="1">
        <f>'Model output'!$B$19*tips_table!$J201</f>
        <v>-0.14737551705234733</v>
      </c>
      <c r="AA201" s="1">
        <f>'Model output'!$B$21*tips_table!$L201</f>
        <v>-0.2139953712402721</v>
      </c>
      <c r="AB201" s="1">
        <f>'Model output'!$B$22*tips_table!$M201</f>
        <v>0.34786623214719364</v>
      </c>
      <c r="AC201" s="1">
        <f>'Model output'!$B$23*tips_table!$N201</f>
        <v>1.2749931477909231</v>
      </c>
      <c r="AD201" s="12">
        <f t="shared" si="26"/>
        <v>2.2355709522174951</v>
      </c>
    </row>
    <row r="202" spans="1:30" x14ac:dyDescent="0.3">
      <c r="A202" s="1" t="s">
        <v>11</v>
      </c>
      <c r="B202" s="1" t="s">
        <v>13</v>
      </c>
      <c r="C202" s="1" t="s">
        <v>14</v>
      </c>
      <c r="D202" s="1" t="s">
        <v>15</v>
      </c>
      <c r="E202" s="1">
        <v>3</v>
      </c>
      <c r="F202" s="12">
        <v>18.71</v>
      </c>
      <c r="G202" s="12">
        <v>4</v>
      </c>
      <c r="I202" s="1">
        <f t="shared" si="21"/>
        <v>1</v>
      </c>
      <c r="J202" s="1">
        <f t="shared" si="22"/>
        <v>2</v>
      </c>
      <c r="K202" s="1">
        <f t="shared" si="23"/>
        <v>2</v>
      </c>
      <c r="L202" s="1">
        <f t="shared" si="27"/>
        <v>4</v>
      </c>
      <c r="M202" s="1">
        <v>3</v>
      </c>
      <c r="N202" s="12">
        <v>18.71</v>
      </c>
      <c r="O202" s="12">
        <v>4</v>
      </c>
      <c r="P202" s="12">
        <f>'Model output'!$B$17+'Model output'!$B$18*tips_table!$I202+'Model output'!$B$19*tips_table!$J202+'Model output'!$B$20*tips_table!$K202+'Model output'!$B$21*tips_table!$L202+'Model output'!$B$22*tips_table!$M202+'Model output'!$B$23*tips_table!$N202</f>
        <v>2.9002490252498485</v>
      </c>
      <c r="Q202" s="8">
        <f t="shared" si="24"/>
        <v>1.0997509747501515</v>
      </c>
      <c r="R202" s="16">
        <f t="shared" si="25"/>
        <v>1.2094522064639084</v>
      </c>
      <c r="W202" s="1">
        <v>0.75944339705833919</v>
      </c>
      <c r="X202" s="1">
        <f>'Model output'!$B$18*tips_table!$I202</f>
        <v>3.7183538040686311E-2</v>
      </c>
      <c r="Y202" s="1">
        <f>'Model output'!$B$20*tips_table!$K202</f>
        <v>0.17745552547297233</v>
      </c>
      <c r="Z202" s="1">
        <f>'Model output'!$B$19*tips_table!$J202</f>
        <v>-0.14737551705234733</v>
      </c>
      <c r="AA202" s="1">
        <f>'Model output'!$B$21*tips_table!$L202</f>
        <v>-0.2139953712402721</v>
      </c>
      <c r="AB202" s="1">
        <f>'Model output'!$B$22*tips_table!$M202</f>
        <v>0.52179934822079044</v>
      </c>
      <c r="AC202" s="1">
        <f>'Model output'!$B$23*tips_table!$N202</f>
        <v>1.7657381047496796</v>
      </c>
      <c r="AD202" s="12">
        <f t="shared" si="26"/>
        <v>2.9002490252498481</v>
      </c>
    </row>
    <row r="203" spans="1:30" x14ac:dyDescent="0.3">
      <c r="A203" s="1" t="s">
        <v>7</v>
      </c>
      <c r="B203" s="1" t="s">
        <v>13</v>
      </c>
      <c r="C203" s="1" t="s">
        <v>14</v>
      </c>
      <c r="D203" s="1" t="s">
        <v>15</v>
      </c>
      <c r="E203" s="1">
        <v>2</v>
      </c>
      <c r="F203" s="12">
        <v>12.74</v>
      </c>
      <c r="G203" s="12">
        <v>2.0099999999999998</v>
      </c>
      <c r="I203" s="1">
        <f t="shared" si="21"/>
        <v>2</v>
      </c>
      <c r="J203" s="1">
        <f t="shared" si="22"/>
        <v>2</v>
      </c>
      <c r="K203" s="1">
        <f t="shared" si="23"/>
        <v>2</v>
      </c>
      <c r="L203" s="1">
        <f t="shared" si="27"/>
        <v>4</v>
      </c>
      <c r="M203" s="1">
        <v>2</v>
      </c>
      <c r="N203" s="12">
        <v>12.74</v>
      </c>
      <c r="O203" s="12">
        <v>2.0099999999999998</v>
      </c>
      <c r="P203" s="12">
        <f>'Model output'!$B$17+'Model output'!$B$18*tips_table!$I203+'Model output'!$B$19*tips_table!$J203+'Model output'!$B$20*tips_table!$K203+'Model output'!$B$21*tips_table!$L203+'Model output'!$B$22*tips_table!$M203+'Model output'!$B$23*tips_table!$N203</f>
        <v>2.2000864870162116</v>
      </c>
      <c r="Q203" s="8">
        <f t="shared" si="24"/>
        <v>-0.19008648701621178</v>
      </c>
      <c r="R203" s="16">
        <f t="shared" si="25"/>
        <v>3.613287254616445E-2</v>
      </c>
      <c r="W203" s="1">
        <v>0.75944339705833919</v>
      </c>
      <c r="X203" s="1">
        <f>'Model output'!$B$18*tips_table!$I203</f>
        <v>7.4367076081372621E-2</v>
      </c>
      <c r="Y203" s="1">
        <f>'Model output'!$B$20*tips_table!$K203</f>
        <v>0.17745552547297233</v>
      </c>
      <c r="Z203" s="1">
        <f>'Model output'!$B$19*tips_table!$J203</f>
        <v>-0.14737551705234733</v>
      </c>
      <c r="AA203" s="1">
        <f>'Model output'!$B$21*tips_table!$L203</f>
        <v>-0.2139953712402721</v>
      </c>
      <c r="AB203" s="1">
        <f>'Model output'!$B$22*tips_table!$M203</f>
        <v>0.34786623214719364</v>
      </c>
      <c r="AC203" s="1">
        <f>'Model output'!$B$23*tips_table!$N203</f>
        <v>1.2023251445489533</v>
      </c>
      <c r="AD203" s="12">
        <f t="shared" si="26"/>
        <v>2.200086487016212</v>
      </c>
    </row>
    <row r="204" spans="1:30" x14ac:dyDescent="0.3">
      <c r="A204" s="1" t="s">
        <v>7</v>
      </c>
      <c r="B204" s="1" t="s">
        <v>13</v>
      </c>
      <c r="C204" s="1" t="s">
        <v>14</v>
      </c>
      <c r="D204" s="1" t="s">
        <v>15</v>
      </c>
      <c r="E204" s="1">
        <v>2</v>
      </c>
      <c r="F204" s="12">
        <v>16.399999999999999</v>
      </c>
      <c r="G204" s="12">
        <v>2.5</v>
      </c>
      <c r="I204" s="1">
        <f t="shared" si="21"/>
        <v>2</v>
      </c>
      <c r="J204" s="1">
        <f t="shared" si="22"/>
        <v>2</v>
      </c>
      <c r="K204" s="1">
        <f t="shared" si="23"/>
        <v>2</v>
      </c>
      <c r="L204" s="1">
        <f t="shared" si="27"/>
        <v>4</v>
      </c>
      <c r="M204" s="1">
        <v>2</v>
      </c>
      <c r="N204" s="12">
        <v>16.399999999999999</v>
      </c>
      <c r="O204" s="12">
        <v>2.5</v>
      </c>
      <c r="P204" s="12">
        <f>'Model output'!$B$17+'Model output'!$B$18*tips_table!$I204+'Model output'!$B$19*tips_table!$J204+'Model output'!$B$20*tips_table!$K204+'Model output'!$B$21*tips_table!$L204+'Model output'!$B$22*tips_table!$M204+'Model output'!$B$23*tips_table!$N204</f>
        <v>2.5454954374910286</v>
      </c>
      <c r="Q204" s="8">
        <f t="shared" si="24"/>
        <v>-4.5495437491028579E-2</v>
      </c>
      <c r="R204" s="16">
        <f t="shared" si="25"/>
        <v>2.0698348325000888E-3</v>
      </c>
      <c r="W204" s="1">
        <v>0.75944339705833919</v>
      </c>
      <c r="X204" s="1">
        <f>'Model output'!$B$18*tips_table!$I204</f>
        <v>7.4367076081372621E-2</v>
      </c>
      <c r="Y204" s="1">
        <f>'Model output'!$B$20*tips_table!$K204</f>
        <v>0.17745552547297233</v>
      </c>
      <c r="Z204" s="1">
        <f>'Model output'!$B$19*tips_table!$J204</f>
        <v>-0.14737551705234733</v>
      </c>
      <c r="AA204" s="1">
        <f>'Model output'!$B$21*tips_table!$L204</f>
        <v>-0.2139953712402721</v>
      </c>
      <c r="AB204" s="1">
        <f>'Model output'!$B$22*tips_table!$M204</f>
        <v>0.34786623214719364</v>
      </c>
      <c r="AC204" s="1">
        <f>'Model output'!$B$23*tips_table!$N204</f>
        <v>1.5477340950237704</v>
      </c>
      <c r="AD204" s="12">
        <f t="shared" si="26"/>
        <v>2.545495437491029</v>
      </c>
    </row>
    <row r="205" spans="1:30" x14ac:dyDescent="0.3">
      <c r="A205" s="1" t="s">
        <v>11</v>
      </c>
      <c r="B205" s="1" t="s">
        <v>13</v>
      </c>
      <c r="C205" s="1" t="s">
        <v>14</v>
      </c>
      <c r="D205" s="1" t="s">
        <v>15</v>
      </c>
      <c r="E205" s="1">
        <v>4</v>
      </c>
      <c r="F205" s="12">
        <v>20.53</v>
      </c>
      <c r="G205" s="12">
        <v>4</v>
      </c>
      <c r="I205" s="1">
        <f t="shared" si="21"/>
        <v>1</v>
      </c>
      <c r="J205" s="1">
        <f t="shared" si="22"/>
        <v>2</v>
      </c>
      <c r="K205" s="1">
        <f t="shared" si="23"/>
        <v>2</v>
      </c>
      <c r="L205" s="1">
        <f t="shared" si="27"/>
        <v>4</v>
      </c>
      <c r="M205" s="1">
        <v>4</v>
      </c>
      <c r="N205" s="12">
        <v>20.53</v>
      </c>
      <c r="O205" s="12">
        <v>4</v>
      </c>
      <c r="P205" s="12">
        <f>'Model output'!$B$17+'Model output'!$B$18*tips_table!$I205+'Model output'!$B$19*tips_table!$J205+'Model output'!$B$20*tips_table!$K205+'Model output'!$B$21*tips_table!$L205+'Model output'!$B$22*tips_table!$M205+'Model output'!$B$23*tips_table!$N205</f>
        <v>3.2459428762590101</v>
      </c>
      <c r="Q205" s="8">
        <f t="shared" si="24"/>
        <v>0.75405712374098988</v>
      </c>
      <c r="R205" s="16">
        <f t="shared" si="25"/>
        <v>0.5686021458645345</v>
      </c>
      <c r="W205" s="1">
        <v>0.75944339705833919</v>
      </c>
      <c r="X205" s="1">
        <f>'Model output'!$B$18*tips_table!$I205</f>
        <v>3.7183538040686311E-2</v>
      </c>
      <c r="Y205" s="1">
        <f>'Model output'!$B$20*tips_table!$K205</f>
        <v>0.17745552547297233</v>
      </c>
      <c r="Z205" s="1">
        <f>'Model output'!$B$19*tips_table!$J205</f>
        <v>-0.14737551705234733</v>
      </c>
      <c r="AA205" s="1">
        <f>'Model output'!$B$21*tips_table!$L205</f>
        <v>-0.2139953712402721</v>
      </c>
      <c r="AB205" s="1">
        <f>'Model output'!$B$22*tips_table!$M205</f>
        <v>0.69573246429438729</v>
      </c>
      <c r="AC205" s="1">
        <f>'Model output'!$B$23*tips_table!$N205</f>
        <v>1.9374988396852444</v>
      </c>
      <c r="AD205" s="12">
        <f t="shared" si="26"/>
        <v>3.2459428762590097</v>
      </c>
    </row>
    <row r="206" spans="1:30" x14ac:dyDescent="0.3">
      <c r="A206" s="1" t="s">
        <v>7</v>
      </c>
      <c r="B206" s="1" t="s">
        <v>13</v>
      </c>
      <c r="C206" s="1" t="s">
        <v>14</v>
      </c>
      <c r="D206" s="1" t="s">
        <v>15</v>
      </c>
      <c r="E206" s="1">
        <v>3</v>
      </c>
      <c r="F206" s="12">
        <v>16.47</v>
      </c>
      <c r="G206" s="12">
        <v>3.23</v>
      </c>
      <c r="I206" s="1">
        <f t="shared" si="21"/>
        <v>2</v>
      </c>
      <c r="J206" s="1">
        <f t="shared" si="22"/>
        <v>2</v>
      </c>
      <c r="K206" s="1">
        <f t="shared" si="23"/>
        <v>2</v>
      </c>
      <c r="L206" s="1">
        <f t="shared" si="27"/>
        <v>4</v>
      </c>
      <c r="M206" s="1">
        <v>3</v>
      </c>
      <c r="N206" s="12">
        <v>16.47</v>
      </c>
      <c r="O206" s="12">
        <v>3.23</v>
      </c>
      <c r="P206" s="12">
        <f>'Model output'!$B$17+'Model output'!$B$18*tips_table!$I206+'Model output'!$B$19*tips_table!$J206+'Model output'!$B$20*tips_table!$K206+'Model output'!$B$21*tips_table!$L206+'Model output'!$B$22*tips_table!$M206+'Model output'!$B$23*tips_table!$N206</f>
        <v>2.7260347356775316</v>
      </c>
      <c r="Q206" s="8">
        <f t="shared" si="24"/>
        <v>0.50396526432246835</v>
      </c>
      <c r="R206" s="16">
        <f t="shared" si="25"/>
        <v>0.25398098764361537</v>
      </c>
      <c r="W206" s="1">
        <v>0.75944339705833919</v>
      </c>
      <c r="X206" s="1">
        <f>'Model output'!$B$18*tips_table!$I206</f>
        <v>7.4367076081372621E-2</v>
      </c>
      <c r="Y206" s="1">
        <f>'Model output'!$B$20*tips_table!$K206</f>
        <v>0.17745552547297233</v>
      </c>
      <c r="Z206" s="1">
        <f>'Model output'!$B$19*tips_table!$J206</f>
        <v>-0.14737551705234733</v>
      </c>
      <c r="AA206" s="1">
        <f>'Model output'!$B$21*tips_table!$L206</f>
        <v>-0.2139953712402721</v>
      </c>
      <c r="AB206" s="1">
        <f>'Model output'!$B$22*tips_table!$M206</f>
        <v>0.52179934822079044</v>
      </c>
      <c r="AC206" s="1">
        <f>'Model output'!$B$23*tips_table!$N206</f>
        <v>1.5543402771366768</v>
      </c>
      <c r="AD206" s="12">
        <f t="shared" si="26"/>
        <v>2.7260347356775316</v>
      </c>
    </row>
    <row r="207" spans="1:30" x14ac:dyDescent="0.3">
      <c r="A207" s="1" t="s">
        <v>11</v>
      </c>
      <c r="B207" s="1" t="s">
        <v>13</v>
      </c>
      <c r="C207" s="1" t="s">
        <v>12</v>
      </c>
      <c r="D207" s="1" t="s">
        <v>10</v>
      </c>
      <c r="E207" s="1">
        <v>3</v>
      </c>
      <c r="F207" s="12">
        <v>26.59</v>
      </c>
      <c r="G207" s="12">
        <v>3.41</v>
      </c>
      <c r="I207" s="1">
        <f t="shared" si="21"/>
        <v>1</v>
      </c>
      <c r="J207" s="1">
        <f t="shared" si="22"/>
        <v>2</v>
      </c>
      <c r="K207" s="1">
        <f t="shared" si="23"/>
        <v>1</v>
      </c>
      <c r="L207" s="1">
        <f t="shared" si="27"/>
        <v>3</v>
      </c>
      <c r="M207" s="1">
        <v>3</v>
      </c>
      <c r="N207" s="12">
        <v>26.59</v>
      </c>
      <c r="O207" s="12">
        <v>3.41</v>
      </c>
      <c r="P207" s="12">
        <f>'Model output'!$B$17+'Model output'!$B$18*tips_table!$I207+'Model output'!$B$19*tips_table!$J207+'Model output'!$B$20*tips_table!$K207+'Model output'!$B$21*tips_table!$L207+'Model output'!$B$22*tips_table!$M207+'Model output'!$B$23*tips_table!$N207</f>
        <v>3.6086874631763153</v>
      </c>
      <c r="Q207" s="8">
        <f t="shared" si="24"/>
        <v>-0.19868746317631514</v>
      </c>
      <c r="R207" s="16">
        <f t="shared" si="25"/>
        <v>3.9476708023439583E-2</v>
      </c>
      <c r="W207" s="1">
        <v>0.75944339705833919</v>
      </c>
      <c r="X207" s="1">
        <f>'Model output'!$B$18*tips_table!$I207</f>
        <v>3.7183538040686311E-2</v>
      </c>
      <c r="Y207" s="1">
        <f>'Model output'!$B$20*tips_table!$K207</f>
        <v>8.8727762736486165E-2</v>
      </c>
      <c r="Z207" s="1">
        <f>'Model output'!$B$19*tips_table!$J207</f>
        <v>-0.14737551705234733</v>
      </c>
      <c r="AA207" s="1">
        <f>'Model output'!$B$21*tips_table!$L207</f>
        <v>-0.16049652843020407</v>
      </c>
      <c r="AB207" s="1">
        <f>'Model output'!$B$22*tips_table!$M207</f>
        <v>0.52179934822079044</v>
      </c>
      <c r="AC207" s="1">
        <f>'Model output'!$B$23*tips_table!$N207</f>
        <v>2.5094054626025644</v>
      </c>
      <c r="AD207" s="12">
        <f t="shared" si="26"/>
        <v>3.6086874631763153</v>
      </c>
    </row>
    <row r="208" spans="1:30" x14ac:dyDescent="0.3">
      <c r="A208" s="1" t="s">
        <v>11</v>
      </c>
      <c r="B208" s="1" t="s">
        <v>13</v>
      </c>
      <c r="C208" s="1" t="s">
        <v>12</v>
      </c>
      <c r="D208" s="1" t="s">
        <v>10</v>
      </c>
      <c r="E208" s="1">
        <v>4</v>
      </c>
      <c r="F208" s="12">
        <v>38.729999999999997</v>
      </c>
      <c r="G208" s="12">
        <v>3</v>
      </c>
      <c r="I208" s="1">
        <f t="shared" si="21"/>
        <v>1</v>
      </c>
      <c r="J208" s="1">
        <f t="shared" si="22"/>
        <v>2</v>
      </c>
      <c r="K208" s="1">
        <f t="shared" si="23"/>
        <v>1</v>
      </c>
      <c r="L208" s="1">
        <f t="shared" si="27"/>
        <v>3</v>
      </c>
      <c r="M208" s="1">
        <v>4</v>
      </c>
      <c r="N208" s="12">
        <v>38.729999999999997</v>
      </c>
      <c r="O208" s="12">
        <v>3</v>
      </c>
      <c r="P208" s="12">
        <f>'Model output'!$B$17+'Model output'!$B$18*tips_table!$I208+'Model output'!$B$19*tips_table!$J208+'Model output'!$B$20*tips_table!$K208+'Model output'!$B$21*tips_table!$L208+'Model output'!$B$22*tips_table!$M208+'Model output'!$B$23*tips_table!$N208</f>
        <v>4.9283213056882396</v>
      </c>
      <c r="Q208" s="8">
        <f t="shared" si="24"/>
        <v>-1.9283213056882396</v>
      </c>
      <c r="R208" s="16">
        <f t="shared" si="25"/>
        <v>3.7184230579711972</v>
      </c>
      <c r="W208" s="1">
        <v>0.75944339705833919</v>
      </c>
      <c r="X208" s="1">
        <f>'Model output'!$B$18*tips_table!$I208</f>
        <v>3.7183538040686311E-2</v>
      </c>
      <c r="Y208" s="1">
        <f>'Model output'!$B$20*tips_table!$K208</f>
        <v>8.8727762736486165E-2</v>
      </c>
      <c r="Z208" s="1">
        <f>'Model output'!$B$19*tips_table!$J208</f>
        <v>-0.14737551705234733</v>
      </c>
      <c r="AA208" s="1">
        <f>'Model output'!$B$21*tips_table!$L208</f>
        <v>-0.16049652843020407</v>
      </c>
      <c r="AB208" s="1">
        <f>'Model output'!$B$22*tips_table!$M208</f>
        <v>0.69573246429438729</v>
      </c>
      <c r="AC208" s="1">
        <f>'Model output'!$B$23*tips_table!$N208</f>
        <v>3.6551061890408918</v>
      </c>
      <c r="AD208" s="12">
        <f t="shared" si="26"/>
        <v>4.9283213056882396</v>
      </c>
    </row>
    <row r="209" spans="1:30" x14ac:dyDescent="0.3">
      <c r="A209" s="1" t="s">
        <v>11</v>
      </c>
      <c r="B209" s="1" t="s">
        <v>13</v>
      </c>
      <c r="C209" s="1" t="s">
        <v>12</v>
      </c>
      <c r="D209" s="1" t="s">
        <v>10</v>
      </c>
      <c r="E209" s="1">
        <v>2</v>
      </c>
      <c r="F209" s="12">
        <v>24.27</v>
      </c>
      <c r="G209" s="12">
        <v>2.0299999999999998</v>
      </c>
      <c r="I209" s="1">
        <f t="shared" si="21"/>
        <v>1</v>
      </c>
      <c r="J209" s="1">
        <f t="shared" si="22"/>
        <v>2</v>
      </c>
      <c r="K209" s="1">
        <f t="shared" si="23"/>
        <v>1</v>
      </c>
      <c r="L209" s="1">
        <f t="shared" si="27"/>
        <v>3</v>
      </c>
      <c r="M209" s="1">
        <v>2</v>
      </c>
      <c r="N209" s="12">
        <v>24.27</v>
      </c>
      <c r="O209" s="12">
        <v>2.0299999999999998</v>
      </c>
      <c r="P209" s="12">
        <f>'Model output'!$B$17+'Model output'!$B$18*tips_table!$I209+'Model output'!$B$19*tips_table!$J209+'Model output'!$B$20*tips_table!$K209+'Model output'!$B$21*tips_table!$L209+'Model output'!$B$22*tips_table!$M209+'Model output'!$B$23*tips_table!$N209</f>
        <v>3.2158065970749656</v>
      </c>
      <c r="Q209" s="8">
        <f t="shared" si="24"/>
        <v>-1.1858065970749658</v>
      </c>
      <c r="R209" s="16">
        <f t="shared" si="25"/>
        <v>1.4061372856665104</v>
      </c>
      <c r="W209" s="1">
        <v>0.75944339705833919</v>
      </c>
      <c r="X209" s="1">
        <f>'Model output'!$B$18*tips_table!$I209</f>
        <v>3.7183538040686311E-2</v>
      </c>
      <c r="Y209" s="1">
        <f>'Model output'!$B$20*tips_table!$K209</f>
        <v>8.8727762736486165E-2</v>
      </c>
      <c r="Z209" s="1">
        <f>'Model output'!$B$19*tips_table!$J209</f>
        <v>-0.14737551705234733</v>
      </c>
      <c r="AA209" s="1">
        <f>'Model output'!$B$21*tips_table!$L209</f>
        <v>-0.16049652843020407</v>
      </c>
      <c r="AB209" s="1">
        <f>'Model output'!$B$22*tips_table!$M209</f>
        <v>0.34786623214719364</v>
      </c>
      <c r="AC209" s="1">
        <f>'Model output'!$B$23*tips_table!$N209</f>
        <v>2.2904577125748116</v>
      </c>
      <c r="AD209" s="12">
        <f t="shared" si="26"/>
        <v>3.2158065970749656</v>
      </c>
    </row>
    <row r="210" spans="1:30" x14ac:dyDescent="0.3">
      <c r="A210" s="1" t="s">
        <v>7</v>
      </c>
      <c r="B210" s="1" t="s">
        <v>13</v>
      </c>
      <c r="C210" s="1" t="s">
        <v>12</v>
      </c>
      <c r="D210" s="1" t="s">
        <v>10</v>
      </c>
      <c r="E210" s="1">
        <v>2</v>
      </c>
      <c r="F210" s="12">
        <v>12.76</v>
      </c>
      <c r="G210" s="12">
        <v>2.23</v>
      </c>
      <c r="I210" s="1">
        <f t="shared" si="21"/>
        <v>2</v>
      </c>
      <c r="J210" s="1">
        <f t="shared" si="22"/>
        <v>2</v>
      </c>
      <c r="K210" s="1">
        <f t="shared" si="23"/>
        <v>1</v>
      </c>
      <c r="L210" s="1">
        <f t="shared" si="27"/>
        <v>3</v>
      </c>
      <c r="M210" s="1">
        <v>2</v>
      </c>
      <c r="N210" s="12">
        <v>12.76</v>
      </c>
      <c r="O210" s="12">
        <v>2.23</v>
      </c>
      <c r="P210" s="12">
        <f>'Model output'!$B$17+'Model output'!$B$18*tips_table!$I210+'Model output'!$B$19*tips_table!$J210+'Model output'!$B$20*tips_table!$K210+'Model output'!$B$21*tips_table!$L210+'Model output'!$B$22*tips_table!$M210+'Model output'!$B$23*tips_table!$N210</f>
        <v>2.1667450476934809</v>
      </c>
      <c r="Q210" s="8">
        <f t="shared" si="24"/>
        <v>6.3254952306519119E-2</v>
      </c>
      <c r="R210" s="16">
        <f t="shared" si="25"/>
        <v>4.0011889913000084E-3</v>
      </c>
      <c r="W210" s="1">
        <v>0.75944339705833919</v>
      </c>
      <c r="X210" s="1">
        <f>'Model output'!$B$18*tips_table!$I210</f>
        <v>7.4367076081372621E-2</v>
      </c>
      <c r="Y210" s="1">
        <f>'Model output'!$B$20*tips_table!$K210</f>
        <v>8.8727762736486165E-2</v>
      </c>
      <c r="Z210" s="1">
        <f>'Model output'!$B$19*tips_table!$J210</f>
        <v>-0.14737551705234733</v>
      </c>
      <c r="AA210" s="1">
        <f>'Model output'!$B$21*tips_table!$L210</f>
        <v>-0.16049652843020407</v>
      </c>
      <c r="AB210" s="1">
        <f>'Model output'!$B$22*tips_table!$M210</f>
        <v>0.34786623214719364</v>
      </c>
      <c r="AC210" s="1">
        <f>'Model output'!$B$23*tips_table!$N210</f>
        <v>1.2042126251526408</v>
      </c>
      <c r="AD210" s="12">
        <f t="shared" si="26"/>
        <v>2.1667450476934809</v>
      </c>
    </row>
    <row r="211" spans="1:30" x14ac:dyDescent="0.3">
      <c r="A211" s="1" t="s">
        <v>11</v>
      </c>
      <c r="B211" s="1" t="s">
        <v>13</v>
      </c>
      <c r="C211" s="1" t="s">
        <v>12</v>
      </c>
      <c r="D211" s="1" t="s">
        <v>10</v>
      </c>
      <c r="E211" s="1">
        <v>3</v>
      </c>
      <c r="F211" s="12">
        <v>30.06</v>
      </c>
      <c r="G211" s="12">
        <v>2</v>
      </c>
      <c r="I211" s="1">
        <f t="shared" si="21"/>
        <v>1</v>
      </c>
      <c r="J211" s="1">
        <f t="shared" si="22"/>
        <v>2</v>
      </c>
      <c r="K211" s="1">
        <f t="shared" si="23"/>
        <v>1</v>
      </c>
      <c r="L211" s="1">
        <f t="shared" si="27"/>
        <v>3</v>
      </c>
      <c r="M211" s="1">
        <v>3</v>
      </c>
      <c r="N211" s="12">
        <v>30.06</v>
      </c>
      <c r="O211" s="12">
        <v>2</v>
      </c>
      <c r="P211" s="12">
        <f>'Model output'!$B$17+'Model output'!$B$18*tips_table!$I211+'Model output'!$B$19*tips_table!$J211+'Model output'!$B$20*tips_table!$K211+'Model output'!$B$21*tips_table!$L211+'Model output'!$B$22*tips_table!$M211+'Model output'!$B$23*tips_table!$N211</f>
        <v>3.9361653479161007</v>
      </c>
      <c r="Q211" s="8">
        <f t="shared" si="24"/>
        <v>-1.9361653479161007</v>
      </c>
      <c r="R211" s="16">
        <f t="shared" si="25"/>
        <v>3.7487362544710754</v>
      </c>
      <c r="W211" s="1">
        <v>0.75944339705833919</v>
      </c>
      <c r="X211" s="1">
        <f>'Model output'!$B$18*tips_table!$I211</f>
        <v>3.7183538040686311E-2</v>
      </c>
      <c r="Y211" s="1">
        <f>'Model output'!$B$20*tips_table!$K211</f>
        <v>8.8727762736486165E-2</v>
      </c>
      <c r="Z211" s="1">
        <f>'Model output'!$B$19*tips_table!$J211</f>
        <v>-0.14737551705234733</v>
      </c>
      <c r="AA211" s="1">
        <f>'Model output'!$B$21*tips_table!$L211</f>
        <v>-0.16049652843020407</v>
      </c>
      <c r="AB211" s="1">
        <f>'Model output'!$B$22*tips_table!$M211</f>
        <v>0.52179934822079044</v>
      </c>
      <c r="AC211" s="1">
        <f>'Model output'!$B$23*tips_table!$N211</f>
        <v>2.8368833473423498</v>
      </c>
      <c r="AD211" s="12">
        <f t="shared" si="26"/>
        <v>3.9361653479161007</v>
      </c>
    </row>
    <row r="212" spans="1:30" x14ac:dyDescent="0.3">
      <c r="A212" s="1" t="s">
        <v>11</v>
      </c>
      <c r="B212" s="1" t="s">
        <v>13</v>
      </c>
      <c r="C212" s="1" t="s">
        <v>12</v>
      </c>
      <c r="D212" s="1" t="s">
        <v>10</v>
      </c>
      <c r="E212" s="1">
        <v>4</v>
      </c>
      <c r="F212" s="12">
        <v>25.89</v>
      </c>
      <c r="G212" s="12">
        <v>5.16</v>
      </c>
      <c r="I212" s="1">
        <f t="shared" si="21"/>
        <v>1</v>
      </c>
      <c r="J212" s="1">
        <f t="shared" si="22"/>
        <v>2</v>
      </c>
      <c r="K212" s="1">
        <f t="shared" si="23"/>
        <v>1</v>
      </c>
      <c r="L212" s="1">
        <f t="shared" si="27"/>
        <v>3</v>
      </c>
      <c r="M212" s="1">
        <v>4</v>
      </c>
      <c r="N212" s="12">
        <v>25.89</v>
      </c>
      <c r="O212" s="12">
        <v>5.16</v>
      </c>
      <c r="P212" s="12">
        <f>'Model output'!$B$17+'Model output'!$B$18*tips_table!$I212+'Model output'!$B$19*tips_table!$J212+'Model output'!$B$20*tips_table!$K212+'Model output'!$B$21*tips_table!$L212+'Model output'!$B$22*tips_table!$M212+'Model output'!$B$23*tips_table!$N212</f>
        <v>3.7165587581208488</v>
      </c>
      <c r="Q212" s="8">
        <f t="shared" si="24"/>
        <v>1.4434412418791513</v>
      </c>
      <c r="R212" s="16">
        <f t="shared" si="25"/>
        <v>2.0835226187576268</v>
      </c>
      <c r="W212" s="1">
        <v>0.75944339705833919</v>
      </c>
      <c r="X212" s="1">
        <f>'Model output'!$B$18*tips_table!$I212</f>
        <v>3.7183538040686311E-2</v>
      </c>
      <c r="Y212" s="1">
        <f>'Model output'!$B$20*tips_table!$K212</f>
        <v>8.8727762736486165E-2</v>
      </c>
      <c r="Z212" s="1">
        <f>'Model output'!$B$19*tips_table!$J212</f>
        <v>-0.14737551705234733</v>
      </c>
      <c r="AA212" s="1">
        <f>'Model output'!$B$21*tips_table!$L212</f>
        <v>-0.16049652843020407</v>
      </c>
      <c r="AB212" s="1">
        <f>'Model output'!$B$22*tips_table!$M212</f>
        <v>0.69573246429438729</v>
      </c>
      <c r="AC212" s="1">
        <f>'Model output'!$B$23*tips_table!$N212</f>
        <v>2.443343641473501</v>
      </c>
      <c r="AD212" s="12">
        <f t="shared" si="26"/>
        <v>3.7165587581208488</v>
      </c>
    </row>
    <row r="213" spans="1:30" x14ac:dyDescent="0.3">
      <c r="A213" s="1" t="s">
        <v>11</v>
      </c>
      <c r="B213" s="1" t="s">
        <v>8</v>
      </c>
      <c r="C213" s="1" t="s">
        <v>12</v>
      </c>
      <c r="D213" s="1" t="s">
        <v>10</v>
      </c>
      <c r="E213" s="1">
        <v>4</v>
      </c>
      <c r="F213" s="12">
        <v>48.33</v>
      </c>
      <c r="G213" s="12">
        <v>9</v>
      </c>
      <c r="I213" s="1">
        <f t="shared" si="21"/>
        <v>1</v>
      </c>
      <c r="J213" s="1">
        <f t="shared" si="22"/>
        <v>1</v>
      </c>
      <c r="K213" s="1">
        <f t="shared" si="23"/>
        <v>1</v>
      </c>
      <c r="L213" s="1">
        <f t="shared" si="27"/>
        <v>3</v>
      </c>
      <c r="M213" s="1">
        <v>4</v>
      </c>
      <c r="N213" s="12">
        <v>48.33</v>
      </c>
      <c r="O213" s="12">
        <v>9</v>
      </c>
      <c r="P213" s="12">
        <f>'Model output'!$B$17+'Model output'!$B$18*tips_table!$I213+'Model output'!$B$19*tips_table!$J213+'Model output'!$B$20*tips_table!$K213+'Model output'!$B$21*tips_table!$L213+'Model output'!$B$22*tips_table!$M213+'Model output'!$B$23*tips_table!$N213</f>
        <v>5.9079997539844253</v>
      </c>
      <c r="Q213" s="8">
        <f t="shared" si="24"/>
        <v>3.0920002460155747</v>
      </c>
      <c r="R213" s="16">
        <f t="shared" si="25"/>
        <v>9.5604655213603742</v>
      </c>
      <c r="W213" s="1">
        <v>0.75944339705833919</v>
      </c>
      <c r="X213" s="1">
        <f>'Model output'!$B$18*tips_table!$I213</f>
        <v>3.7183538040686311E-2</v>
      </c>
      <c r="Y213" s="1">
        <f>'Model output'!$B$20*tips_table!$K213</f>
        <v>8.8727762736486165E-2</v>
      </c>
      <c r="Z213" s="1">
        <f>'Model output'!$B$19*tips_table!$J213</f>
        <v>-7.3687758526173666E-2</v>
      </c>
      <c r="AA213" s="1">
        <f>'Model output'!$B$21*tips_table!$L213</f>
        <v>-0.16049652843020407</v>
      </c>
      <c r="AB213" s="1">
        <f>'Model output'!$B$22*tips_table!$M213</f>
        <v>0.69573246429438729</v>
      </c>
      <c r="AC213" s="1">
        <f>'Model output'!$B$23*tips_table!$N213</f>
        <v>4.5610968788109041</v>
      </c>
      <c r="AD213" s="12">
        <f t="shared" si="26"/>
        <v>5.9079997539844253</v>
      </c>
    </row>
    <row r="214" spans="1:30" x14ac:dyDescent="0.3">
      <c r="A214" s="1" t="s">
        <v>7</v>
      </c>
      <c r="B214" s="1" t="s">
        <v>13</v>
      </c>
      <c r="C214" s="1" t="s">
        <v>12</v>
      </c>
      <c r="D214" s="1" t="s">
        <v>10</v>
      </c>
      <c r="E214" s="1">
        <v>2</v>
      </c>
      <c r="F214" s="12">
        <v>13.27</v>
      </c>
      <c r="G214" s="12">
        <v>2.5</v>
      </c>
      <c r="I214" s="1">
        <f t="shared" si="21"/>
        <v>2</v>
      </c>
      <c r="J214" s="1">
        <f t="shared" si="22"/>
        <v>2</v>
      </c>
      <c r="K214" s="1">
        <f t="shared" si="23"/>
        <v>1</v>
      </c>
      <c r="L214" s="1">
        <f t="shared" si="27"/>
        <v>3</v>
      </c>
      <c r="M214" s="1">
        <v>2</v>
      </c>
      <c r="N214" s="12">
        <v>13.27</v>
      </c>
      <c r="O214" s="12">
        <v>2.5</v>
      </c>
      <c r="P214" s="12">
        <f>'Model output'!$B$17+'Model output'!$B$18*tips_table!$I214+'Model output'!$B$19*tips_table!$J214+'Model output'!$B$20*tips_table!$K214+'Model output'!$B$21*tips_table!$L214+'Model output'!$B$22*tips_table!$M214+'Model output'!$B$23*tips_table!$N214</f>
        <v>2.2148758030875131</v>
      </c>
      <c r="Q214" s="8">
        <f t="shared" si="24"/>
        <v>0.28512419691248692</v>
      </c>
      <c r="R214" s="16">
        <f t="shared" si="25"/>
        <v>8.1295807664990616E-2</v>
      </c>
      <c r="W214" s="1">
        <v>0.75944339705833919</v>
      </c>
      <c r="X214" s="1">
        <f>'Model output'!$B$18*tips_table!$I214</f>
        <v>7.4367076081372621E-2</v>
      </c>
      <c r="Y214" s="1">
        <f>'Model output'!$B$20*tips_table!$K214</f>
        <v>8.8727762736486165E-2</v>
      </c>
      <c r="Z214" s="1">
        <f>'Model output'!$B$19*tips_table!$J214</f>
        <v>-0.14737551705234733</v>
      </c>
      <c r="AA214" s="1">
        <f>'Model output'!$B$21*tips_table!$L214</f>
        <v>-0.16049652843020407</v>
      </c>
      <c r="AB214" s="1">
        <f>'Model output'!$B$22*tips_table!$M214</f>
        <v>0.34786623214719364</v>
      </c>
      <c r="AC214" s="1">
        <f>'Model output'!$B$23*tips_table!$N214</f>
        <v>1.2523433805466728</v>
      </c>
      <c r="AD214" s="12">
        <f t="shared" si="26"/>
        <v>2.2148758030875131</v>
      </c>
    </row>
    <row r="215" spans="1:30" x14ac:dyDescent="0.3">
      <c r="A215" s="1" t="s">
        <v>7</v>
      </c>
      <c r="B215" s="1" t="s">
        <v>13</v>
      </c>
      <c r="C215" s="1" t="s">
        <v>12</v>
      </c>
      <c r="D215" s="1" t="s">
        <v>10</v>
      </c>
      <c r="E215" s="1">
        <v>3</v>
      </c>
      <c r="F215" s="12">
        <v>28.17</v>
      </c>
      <c r="G215" s="12">
        <v>6.5</v>
      </c>
      <c r="I215" s="1">
        <f t="shared" si="21"/>
        <v>2</v>
      </c>
      <c r="J215" s="1">
        <f t="shared" si="22"/>
        <v>2</v>
      </c>
      <c r="K215" s="1">
        <f t="shared" si="23"/>
        <v>1</v>
      </c>
      <c r="L215" s="1">
        <f t="shared" si="27"/>
        <v>3</v>
      </c>
      <c r="M215" s="1">
        <v>3</v>
      </c>
      <c r="N215" s="12">
        <v>28.17</v>
      </c>
      <c r="O215" s="12">
        <v>6.5</v>
      </c>
      <c r="P215" s="12">
        <f>'Model output'!$B$17+'Model output'!$B$18*tips_table!$I215+'Model output'!$B$19*tips_table!$J215+'Model output'!$B$20*tips_table!$K215+'Model output'!$B$21*tips_table!$L215+'Model output'!$B$22*tips_table!$M215+'Model output'!$B$23*tips_table!$N215</f>
        <v>3.7949819689083157</v>
      </c>
      <c r="Q215" s="8">
        <f t="shared" si="24"/>
        <v>2.7050180310916843</v>
      </c>
      <c r="R215" s="16">
        <f t="shared" si="25"/>
        <v>7.317122548531132</v>
      </c>
      <c r="W215" s="1">
        <v>0.75944339705833919</v>
      </c>
      <c r="X215" s="1">
        <f>'Model output'!$B$18*tips_table!$I215</f>
        <v>7.4367076081372621E-2</v>
      </c>
      <c r="Y215" s="1">
        <f>'Model output'!$B$20*tips_table!$K215</f>
        <v>8.8727762736486165E-2</v>
      </c>
      <c r="Z215" s="1">
        <f>'Model output'!$B$19*tips_table!$J215</f>
        <v>-0.14737551705234733</v>
      </c>
      <c r="AA215" s="1">
        <f>'Model output'!$B$21*tips_table!$L215</f>
        <v>-0.16049652843020407</v>
      </c>
      <c r="AB215" s="1">
        <f>'Model output'!$B$22*tips_table!$M215</f>
        <v>0.52179934822079044</v>
      </c>
      <c r="AC215" s="1">
        <f>'Model output'!$B$23*tips_table!$N215</f>
        <v>2.6585164302938789</v>
      </c>
      <c r="AD215" s="12">
        <f t="shared" si="26"/>
        <v>3.7949819689083157</v>
      </c>
    </row>
    <row r="216" spans="1:30" x14ac:dyDescent="0.3">
      <c r="A216" s="1" t="s">
        <v>7</v>
      </c>
      <c r="B216" s="1" t="s">
        <v>13</v>
      </c>
      <c r="C216" s="1" t="s">
        <v>12</v>
      </c>
      <c r="D216" s="1" t="s">
        <v>10</v>
      </c>
      <c r="E216" s="1">
        <v>2</v>
      </c>
      <c r="F216" s="12">
        <v>12.9</v>
      </c>
      <c r="G216" s="12">
        <v>1.1000000000000001</v>
      </c>
      <c r="I216" s="1">
        <f t="shared" si="21"/>
        <v>2</v>
      </c>
      <c r="J216" s="1">
        <f t="shared" si="22"/>
        <v>2</v>
      </c>
      <c r="K216" s="1">
        <f t="shared" si="23"/>
        <v>1</v>
      </c>
      <c r="L216" s="1">
        <f t="shared" si="27"/>
        <v>3</v>
      </c>
      <c r="M216" s="1">
        <v>2</v>
      </c>
      <c r="N216" s="12">
        <v>12.9</v>
      </c>
      <c r="O216" s="12">
        <v>1.1000000000000001</v>
      </c>
      <c r="P216" s="12">
        <f>'Model output'!$B$17+'Model output'!$B$18*tips_table!$I216+'Model output'!$B$19*tips_table!$J216+'Model output'!$B$20*tips_table!$K216+'Model output'!$B$21*tips_table!$L216+'Model output'!$B$22*tips_table!$M216+'Model output'!$B$23*tips_table!$N216</f>
        <v>2.1799574119192942</v>
      </c>
      <c r="Q216" s="8">
        <f t="shared" si="24"/>
        <v>-1.0799574119192941</v>
      </c>
      <c r="R216" s="16">
        <f t="shared" si="25"/>
        <v>1.1663080115594198</v>
      </c>
      <c r="W216" s="1">
        <v>0.75944339705833919</v>
      </c>
      <c r="X216" s="1">
        <f>'Model output'!$B$18*tips_table!$I216</f>
        <v>7.4367076081372621E-2</v>
      </c>
      <c r="Y216" s="1">
        <f>'Model output'!$B$20*tips_table!$K216</f>
        <v>8.8727762736486165E-2</v>
      </c>
      <c r="Z216" s="1">
        <f>'Model output'!$B$19*tips_table!$J216</f>
        <v>-0.14737551705234733</v>
      </c>
      <c r="AA216" s="1">
        <f>'Model output'!$B$21*tips_table!$L216</f>
        <v>-0.16049652843020407</v>
      </c>
      <c r="AB216" s="1">
        <f>'Model output'!$B$22*tips_table!$M216</f>
        <v>0.34786623214719364</v>
      </c>
      <c r="AC216" s="1">
        <f>'Model output'!$B$23*tips_table!$N216</f>
        <v>1.2174249893784537</v>
      </c>
      <c r="AD216" s="12">
        <f t="shared" si="26"/>
        <v>2.1799574119192942</v>
      </c>
    </row>
    <row r="217" spans="1:30" x14ac:dyDescent="0.3">
      <c r="A217" s="1" t="s">
        <v>11</v>
      </c>
      <c r="B217" s="1" t="s">
        <v>13</v>
      </c>
      <c r="C217" s="1" t="s">
        <v>12</v>
      </c>
      <c r="D217" s="1" t="s">
        <v>10</v>
      </c>
      <c r="E217" s="1">
        <v>5</v>
      </c>
      <c r="F217" s="12">
        <v>28.15</v>
      </c>
      <c r="G217" s="12">
        <v>3</v>
      </c>
      <c r="I217" s="1">
        <f t="shared" si="21"/>
        <v>1</v>
      </c>
      <c r="J217" s="1">
        <f t="shared" si="22"/>
        <v>2</v>
      </c>
      <c r="K217" s="1">
        <f t="shared" si="23"/>
        <v>1</v>
      </c>
      <c r="L217" s="1">
        <f t="shared" si="27"/>
        <v>3</v>
      </c>
      <c r="M217" s="1">
        <v>5</v>
      </c>
      <c r="N217" s="12">
        <v>28.15</v>
      </c>
      <c r="O217" s="12">
        <v>3</v>
      </c>
      <c r="P217" s="12">
        <f>'Model output'!$B$17+'Model output'!$B$18*tips_table!$I217+'Model output'!$B$19*tips_table!$J217+'Model output'!$B$20*tips_table!$K217+'Model output'!$B$21*tips_table!$L217+'Model output'!$B$22*tips_table!$M217+'Model output'!$B$23*tips_table!$N217</f>
        <v>4.103777182411136</v>
      </c>
      <c r="Q217" s="8">
        <f t="shared" si="24"/>
        <v>-1.103777182411136</v>
      </c>
      <c r="R217" s="16">
        <f t="shared" si="25"/>
        <v>1.2183240684114662</v>
      </c>
      <c r="W217" s="1">
        <v>0.75944339705833919</v>
      </c>
      <c r="X217" s="1">
        <f>'Model output'!$B$18*tips_table!$I217</f>
        <v>3.7183538040686311E-2</v>
      </c>
      <c r="Y217" s="1">
        <f>'Model output'!$B$20*tips_table!$K217</f>
        <v>8.8727762736486165E-2</v>
      </c>
      <c r="Z217" s="1">
        <f>'Model output'!$B$19*tips_table!$J217</f>
        <v>-0.14737551705234733</v>
      </c>
      <c r="AA217" s="1">
        <f>'Model output'!$B$21*tips_table!$L217</f>
        <v>-0.16049652843020407</v>
      </c>
      <c r="AB217" s="1">
        <f>'Model output'!$B$22*tips_table!$M217</f>
        <v>0.86966558036798414</v>
      </c>
      <c r="AC217" s="1">
        <f>'Model output'!$B$23*tips_table!$N217</f>
        <v>2.6566289496901914</v>
      </c>
      <c r="AD217" s="12">
        <f t="shared" si="26"/>
        <v>4.103777182411136</v>
      </c>
    </row>
    <row r="218" spans="1:30" x14ac:dyDescent="0.3">
      <c r="A218" s="1" t="s">
        <v>11</v>
      </c>
      <c r="B218" s="1" t="s">
        <v>13</v>
      </c>
      <c r="C218" s="1" t="s">
        <v>12</v>
      </c>
      <c r="D218" s="1" t="s">
        <v>10</v>
      </c>
      <c r="E218" s="1">
        <v>2</v>
      </c>
      <c r="F218" s="12">
        <v>11.59</v>
      </c>
      <c r="G218" s="12">
        <v>1.5</v>
      </c>
      <c r="I218" s="1">
        <f t="shared" si="21"/>
        <v>1</v>
      </c>
      <c r="J218" s="1">
        <f t="shared" si="22"/>
        <v>2</v>
      </c>
      <c r="K218" s="1">
        <f t="shared" si="23"/>
        <v>1</v>
      </c>
      <c r="L218" s="1">
        <f t="shared" si="27"/>
        <v>3</v>
      </c>
      <c r="M218" s="1">
        <v>2</v>
      </c>
      <c r="N218" s="12">
        <v>11.59</v>
      </c>
      <c r="O218" s="12">
        <v>1.5</v>
      </c>
      <c r="P218" s="12">
        <f>'Model output'!$B$17+'Model output'!$B$18*tips_table!$I218+'Model output'!$B$19*tips_table!$J218+'Model output'!$B$20*tips_table!$K218+'Model output'!$B$21*tips_table!$L218+'Model output'!$B$22*tips_table!$M218+'Model output'!$B$23*tips_table!$N218</f>
        <v>2.0191438943370748</v>
      </c>
      <c r="Q218" s="8">
        <f t="shared" si="24"/>
        <v>-0.51914389433707475</v>
      </c>
      <c r="R218" s="16">
        <f t="shared" si="25"/>
        <v>0.26951038302746383</v>
      </c>
      <c r="W218" s="1">
        <v>0.75944339705833919</v>
      </c>
      <c r="X218" s="1">
        <f>'Model output'!$B$18*tips_table!$I218</f>
        <v>3.7183538040686311E-2</v>
      </c>
      <c r="Y218" s="1">
        <f>'Model output'!$B$20*tips_table!$K218</f>
        <v>8.8727762736486165E-2</v>
      </c>
      <c r="Z218" s="1">
        <f>'Model output'!$B$19*tips_table!$J218</f>
        <v>-0.14737551705234733</v>
      </c>
      <c r="AA218" s="1">
        <f>'Model output'!$B$21*tips_table!$L218</f>
        <v>-0.16049652843020407</v>
      </c>
      <c r="AB218" s="1">
        <f>'Model output'!$B$22*tips_table!$M218</f>
        <v>0.34786623214719364</v>
      </c>
      <c r="AC218" s="1">
        <f>'Model output'!$B$23*tips_table!$N218</f>
        <v>1.0937950098369207</v>
      </c>
      <c r="AD218" s="12">
        <f t="shared" si="26"/>
        <v>2.0191438943370748</v>
      </c>
    </row>
    <row r="219" spans="1:30" x14ac:dyDescent="0.3">
      <c r="A219" s="1" t="s">
        <v>11</v>
      </c>
      <c r="B219" s="1" t="s">
        <v>13</v>
      </c>
      <c r="C219" s="1" t="s">
        <v>12</v>
      </c>
      <c r="D219" s="1" t="s">
        <v>10</v>
      </c>
      <c r="E219" s="1">
        <v>2</v>
      </c>
      <c r="F219" s="12">
        <v>7.74</v>
      </c>
      <c r="G219" s="12">
        <v>1.44</v>
      </c>
      <c r="I219" s="1">
        <f t="shared" si="21"/>
        <v>1</v>
      </c>
      <c r="J219" s="1">
        <f t="shared" si="22"/>
        <v>2</v>
      </c>
      <c r="K219" s="1">
        <f t="shared" si="23"/>
        <v>1</v>
      </c>
      <c r="L219" s="1">
        <f t="shared" si="27"/>
        <v>3</v>
      </c>
      <c r="M219" s="1">
        <v>2</v>
      </c>
      <c r="N219" s="12">
        <v>7.74</v>
      </c>
      <c r="O219" s="12">
        <v>1.44</v>
      </c>
      <c r="P219" s="12">
        <f>'Model output'!$B$17+'Model output'!$B$18*tips_table!$I219+'Model output'!$B$19*tips_table!$J219+'Model output'!$B$20*tips_table!$K219+'Model output'!$B$21*tips_table!$L219+'Model output'!$B$22*tips_table!$M219+'Model output'!$B$23*tips_table!$N219</f>
        <v>1.6558038781272262</v>
      </c>
      <c r="Q219" s="8">
        <f t="shared" si="24"/>
        <v>-0.21580387812722623</v>
      </c>
      <c r="R219" s="16">
        <f t="shared" si="25"/>
        <v>4.6571313814750714E-2</v>
      </c>
      <c r="W219" s="1">
        <v>0.75944339705833919</v>
      </c>
      <c r="X219" s="1">
        <f>'Model output'!$B$18*tips_table!$I219</f>
        <v>3.7183538040686311E-2</v>
      </c>
      <c r="Y219" s="1">
        <f>'Model output'!$B$20*tips_table!$K219</f>
        <v>8.8727762736486165E-2</v>
      </c>
      <c r="Z219" s="1">
        <f>'Model output'!$B$19*tips_table!$J219</f>
        <v>-0.14737551705234733</v>
      </c>
      <c r="AA219" s="1">
        <f>'Model output'!$B$21*tips_table!$L219</f>
        <v>-0.16049652843020407</v>
      </c>
      <c r="AB219" s="1">
        <f>'Model output'!$B$22*tips_table!$M219</f>
        <v>0.34786623214719364</v>
      </c>
      <c r="AC219" s="1">
        <f>'Model output'!$B$23*tips_table!$N219</f>
        <v>0.73045499362707222</v>
      </c>
      <c r="AD219" s="12">
        <f t="shared" si="26"/>
        <v>1.6558038781272262</v>
      </c>
    </row>
    <row r="220" spans="1:30" x14ac:dyDescent="0.3">
      <c r="A220" s="1" t="s">
        <v>7</v>
      </c>
      <c r="B220" s="1" t="s">
        <v>13</v>
      </c>
      <c r="C220" s="1" t="s">
        <v>12</v>
      </c>
      <c r="D220" s="1" t="s">
        <v>10</v>
      </c>
      <c r="E220" s="1">
        <v>4</v>
      </c>
      <c r="F220" s="12">
        <v>30.14</v>
      </c>
      <c r="G220" s="12">
        <v>3.09</v>
      </c>
      <c r="I220" s="1">
        <f t="shared" si="21"/>
        <v>2</v>
      </c>
      <c r="J220" s="1">
        <f t="shared" si="22"/>
        <v>2</v>
      </c>
      <c r="K220" s="1">
        <f t="shared" si="23"/>
        <v>1</v>
      </c>
      <c r="L220" s="1">
        <f t="shared" si="27"/>
        <v>3</v>
      </c>
      <c r="M220" s="1">
        <v>4</v>
      </c>
      <c r="N220" s="12">
        <v>30.14</v>
      </c>
      <c r="O220" s="12">
        <v>3.09</v>
      </c>
      <c r="P220" s="12">
        <f>'Model output'!$B$17+'Model output'!$B$18*tips_table!$I220+'Model output'!$B$19*tips_table!$J220+'Model output'!$B$20*tips_table!$K220+'Model output'!$B$21*tips_table!$L220+'Model output'!$B$22*tips_table!$M220+'Model output'!$B$23*tips_table!$N220</f>
        <v>4.1548319244451335</v>
      </c>
      <c r="Q220" s="8">
        <f t="shared" si="24"/>
        <v>-1.0648319244451336</v>
      </c>
      <c r="R220" s="16">
        <f t="shared" si="25"/>
        <v>1.1338670273175269</v>
      </c>
      <c r="W220" s="1">
        <v>0.75944339705833919</v>
      </c>
      <c r="X220" s="1">
        <f>'Model output'!$B$18*tips_table!$I220</f>
        <v>7.4367076081372621E-2</v>
      </c>
      <c r="Y220" s="1">
        <f>'Model output'!$B$20*tips_table!$K220</f>
        <v>8.8727762736486165E-2</v>
      </c>
      <c r="Z220" s="1">
        <f>'Model output'!$B$19*tips_table!$J220</f>
        <v>-0.14737551705234733</v>
      </c>
      <c r="AA220" s="1">
        <f>'Model output'!$B$21*tips_table!$L220</f>
        <v>-0.16049652843020407</v>
      </c>
      <c r="AB220" s="1">
        <f>'Model output'!$B$22*tips_table!$M220</f>
        <v>0.69573246429438729</v>
      </c>
      <c r="AC220" s="1">
        <f>'Model output'!$B$23*tips_table!$N220</f>
        <v>2.8444332697571002</v>
      </c>
      <c r="AD220" s="12">
        <f t="shared" si="26"/>
        <v>4.1548319244451335</v>
      </c>
    </row>
    <row r="221" spans="1:30" x14ac:dyDescent="0.3">
      <c r="A221" s="1" t="s">
        <v>11</v>
      </c>
      <c r="B221" s="1" t="s">
        <v>13</v>
      </c>
      <c r="C221" s="1" t="s">
        <v>16</v>
      </c>
      <c r="D221" s="1" t="s">
        <v>15</v>
      </c>
      <c r="E221" s="1">
        <v>2</v>
      </c>
      <c r="F221" s="12">
        <v>12.16</v>
      </c>
      <c r="G221" s="12">
        <v>2.2000000000000002</v>
      </c>
      <c r="I221" s="1">
        <f t="shared" si="21"/>
        <v>1</v>
      </c>
      <c r="J221" s="1">
        <f t="shared" si="22"/>
        <v>2</v>
      </c>
      <c r="K221" s="1">
        <f t="shared" si="23"/>
        <v>2</v>
      </c>
      <c r="L221" s="1">
        <f t="shared" si="27"/>
        <v>2</v>
      </c>
      <c r="M221" s="1">
        <v>2</v>
      </c>
      <c r="N221" s="12">
        <v>12.16</v>
      </c>
      <c r="O221" s="12">
        <v>2.2000000000000002</v>
      </c>
      <c r="P221" s="12">
        <f>'Model output'!$B$17+'Model output'!$B$18*tips_table!$I221+'Model output'!$B$19*tips_table!$J221+'Model output'!$B$20*tips_table!$K221+'Model output'!$B$21*tips_table!$L221+'Model output'!$B$22*tips_table!$M221+'Model output'!$B$23*tips_table!$N221</f>
        <v>2.2151636970887232</v>
      </c>
      <c r="Q221" s="8">
        <f t="shared" si="24"/>
        <v>-1.5163697088723005E-2</v>
      </c>
      <c r="R221" s="16">
        <f t="shared" si="25"/>
        <v>2.2993770939854654E-4</v>
      </c>
      <c r="W221" s="1">
        <v>0.75944339705833919</v>
      </c>
      <c r="X221" s="1">
        <f>'Model output'!$B$18*tips_table!$I221</f>
        <v>3.7183538040686311E-2</v>
      </c>
      <c r="Y221" s="1">
        <f>'Model output'!$B$20*tips_table!$K221</f>
        <v>0.17745552547297233</v>
      </c>
      <c r="Z221" s="1">
        <f>'Model output'!$B$19*tips_table!$J221</f>
        <v>-0.14737551705234733</v>
      </c>
      <c r="AA221" s="1">
        <f>'Model output'!$B$21*tips_table!$L221</f>
        <v>-0.10699768562013605</v>
      </c>
      <c r="AB221" s="1">
        <f>'Model output'!$B$22*tips_table!$M221</f>
        <v>0.34786623214719364</v>
      </c>
      <c r="AC221" s="1">
        <f>'Model output'!$B$23*tips_table!$N221</f>
        <v>1.1475882070420151</v>
      </c>
      <c r="AD221" s="12">
        <f t="shared" si="26"/>
        <v>2.2151636970887232</v>
      </c>
    </row>
    <row r="222" spans="1:30" x14ac:dyDescent="0.3">
      <c r="A222" s="1" t="s">
        <v>7</v>
      </c>
      <c r="B222" s="1" t="s">
        <v>13</v>
      </c>
      <c r="C222" s="1" t="s">
        <v>16</v>
      </c>
      <c r="D222" s="1" t="s">
        <v>15</v>
      </c>
      <c r="E222" s="1">
        <v>2</v>
      </c>
      <c r="F222" s="12">
        <v>13.42</v>
      </c>
      <c r="G222" s="12">
        <v>3.48</v>
      </c>
      <c r="I222" s="1">
        <f t="shared" si="21"/>
        <v>2</v>
      </c>
      <c r="J222" s="1">
        <f t="shared" si="22"/>
        <v>2</v>
      </c>
      <c r="K222" s="1">
        <f t="shared" si="23"/>
        <v>2</v>
      </c>
      <c r="L222" s="1">
        <f t="shared" si="27"/>
        <v>2</v>
      </c>
      <c r="M222" s="1">
        <v>2</v>
      </c>
      <c r="N222" s="12">
        <v>13.42</v>
      </c>
      <c r="O222" s="12">
        <v>3.48</v>
      </c>
      <c r="P222" s="12">
        <f>'Model output'!$B$17+'Model output'!$B$18*tips_table!$I222+'Model output'!$B$19*tips_table!$J222+'Model output'!$B$20*tips_table!$K222+'Model output'!$B$21*tips_table!$L222+'Model output'!$B$22*tips_table!$M222+'Model output'!$B$23*tips_table!$N222</f>
        <v>2.3712585131617239</v>
      </c>
      <c r="Q222" s="8">
        <f t="shared" si="24"/>
        <v>1.1087414868382761</v>
      </c>
      <c r="R222" s="16">
        <f t="shared" si="25"/>
        <v>1.2293076846363511</v>
      </c>
      <c r="W222" s="1">
        <v>0.75944339705833919</v>
      </c>
      <c r="X222" s="1">
        <f>'Model output'!$B$18*tips_table!$I222</f>
        <v>7.4367076081372621E-2</v>
      </c>
      <c r="Y222" s="1">
        <f>'Model output'!$B$20*tips_table!$K222</f>
        <v>0.17745552547297233</v>
      </c>
      <c r="Z222" s="1">
        <f>'Model output'!$B$19*tips_table!$J222</f>
        <v>-0.14737551705234733</v>
      </c>
      <c r="AA222" s="1">
        <f>'Model output'!$B$21*tips_table!$L222</f>
        <v>-0.10699768562013605</v>
      </c>
      <c r="AB222" s="1">
        <f>'Model output'!$B$22*tips_table!$M222</f>
        <v>0.34786623214719364</v>
      </c>
      <c r="AC222" s="1">
        <f>'Model output'!$B$23*tips_table!$N222</f>
        <v>1.2664994850743292</v>
      </c>
      <c r="AD222" s="12">
        <f t="shared" si="26"/>
        <v>2.3712585131617239</v>
      </c>
    </row>
    <row r="223" spans="1:30" x14ac:dyDescent="0.3">
      <c r="A223" s="1" t="s">
        <v>11</v>
      </c>
      <c r="B223" s="1" t="s">
        <v>13</v>
      </c>
      <c r="C223" s="1" t="s">
        <v>16</v>
      </c>
      <c r="D223" s="1" t="s">
        <v>15</v>
      </c>
      <c r="E223" s="1">
        <v>1</v>
      </c>
      <c r="F223" s="12">
        <v>8.58</v>
      </c>
      <c r="G223" s="12">
        <v>1.92</v>
      </c>
      <c r="I223" s="1">
        <f t="shared" si="21"/>
        <v>1</v>
      </c>
      <c r="J223" s="1">
        <f t="shared" si="22"/>
        <v>2</v>
      </c>
      <c r="K223" s="1">
        <f t="shared" si="23"/>
        <v>2</v>
      </c>
      <c r="L223" s="1">
        <f t="shared" si="27"/>
        <v>2</v>
      </c>
      <c r="M223" s="1">
        <v>1</v>
      </c>
      <c r="N223" s="12">
        <v>8.58</v>
      </c>
      <c r="O223" s="12">
        <v>1.92</v>
      </c>
      <c r="P223" s="12">
        <f>'Model output'!$B$17+'Model output'!$B$18*tips_table!$I223+'Model output'!$B$19*tips_table!$J223+'Model output'!$B$20*tips_table!$K223+'Model output'!$B$21*tips_table!$L223+'Model output'!$B$22*tips_table!$M223+'Model output'!$B$23*tips_table!$N223</f>
        <v>1.7033715529550597</v>
      </c>
      <c r="Q223" s="8">
        <f t="shared" si="24"/>
        <v>0.21662844704494022</v>
      </c>
      <c r="R223" s="16">
        <f t="shared" si="25"/>
        <v>4.692788406910247E-2</v>
      </c>
      <c r="W223" s="1">
        <v>0.75944339705833919</v>
      </c>
      <c r="X223" s="1">
        <f>'Model output'!$B$18*tips_table!$I223</f>
        <v>3.7183538040686311E-2</v>
      </c>
      <c r="Y223" s="1">
        <f>'Model output'!$B$20*tips_table!$K223</f>
        <v>0.17745552547297233</v>
      </c>
      <c r="Z223" s="1">
        <f>'Model output'!$B$19*tips_table!$J223</f>
        <v>-0.14737551705234733</v>
      </c>
      <c r="AA223" s="1">
        <f>'Model output'!$B$21*tips_table!$L223</f>
        <v>-0.10699768562013605</v>
      </c>
      <c r="AB223" s="1">
        <f>'Model output'!$B$22*tips_table!$M223</f>
        <v>0.17393311607359682</v>
      </c>
      <c r="AC223" s="1">
        <f>'Model output'!$B$23*tips_table!$N223</f>
        <v>0.80972917898194818</v>
      </c>
      <c r="AD223" s="12">
        <f t="shared" si="26"/>
        <v>1.7033715529550595</v>
      </c>
    </row>
    <row r="224" spans="1:30" x14ac:dyDescent="0.3">
      <c r="A224" s="1" t="s">
        <v>7</v>
      </c>
      <c r="B224" s="1" t="s">
        <v>8</v>
      </c>
      <c r="C224" s="1" t="s">
        <v>16</v>
      </c>
      <c r="D224" s="1" t="s">
        <v>15</v>
      </c>
      <c r="E224" s="1">
        <v>3</v>
      </c>
      <c r="F224" s="12">
        <v>15.98</v>
      </c>
      <c r="G224" s="12">
        <v>3</v>
      </c>
      <c r="I224" s="1">
        <f t="shared" si="21"/>
        <v>2</v>
      </c>
      <c r="J224" s="1">
        <f t="shared" si="22"/>
        <v>1</v>
      </c>
      <c r="K224" s="1">
        <f t="shared" si="23"/>
        <v>2</v>
      </c>
      <c r="L224" s="1">
        <f t="shared" si="27"/>
        <v>2</v>
      </c>
      <c r="M224" s="1">
        <v>3</v>
      </c>
      <c r="N224" s="12">
        <v>15.98</v>
      </c>
      <c r="O224" s="12">
        <v>3</v>
      </c>
      <c r="P224" s="12">
        <f>'Model output'!$B$17+'Model output'!$B$18*tips_table!$I224+'Model output'!$B$19*tips_table!$J224+'Model output'!$B$20*tips_table!$K224+'Model output'!$B$21*tips_table!$L224+'Model output'!$B$22*tips_table!$M224+'Model output'!$B$23*tips_table!$N224</f>
        <v>2.8604769050334973</v>
      </c>
      <c r="Q224" s="8">
        <f t="shared" si="24"/>
        <v>0.13952309496650273</v>
      </c>
      <c r="R224" s="16">
        <f t="shared" si="25"/>
        <v>1.9466694029031738E-2</v>
      </c>
      <c r="W224" s="1">
        <v>0.75944339705833919</v>
      </c>
      <c r="X224" s="1">
        <f>'Model output'!$B$18*tips_table!$I224</f>
        <v>7.4367076081372621E-2</v>
      </c>
      <c r="Y224" s="1">
        <f>'Model output'!$B$20*tips_table!$K224</f>
        <v>0.17745552547297233</v>
      </c>
      <c r="Z224" s="1">
        <f>'Model output'!$B$19*tips_table!$J224</f>
        <v>-7.3687758526173666E-2</v>
      </c>
      <c r="AA224" s="1">
        <f>'Model output'!$B$21*tips_table!$L224</f>
        <v>-0.10699768562013605</v>
      </c>
      <c r="AB224" s="1">
        <f>'Model output'!$B$22*tips_table!$M224</f>
        <v>0.52179934822079044</v>
      </c>
      <c r="AC224" s="1">
        <f>'Model output'!$B$23*tips_table!$N224</f>
        <v>1.5080970023463325</v>
      </c>
      <c r="AD224" s="12">
        <f t="shared" si="26"/>
        <v>2.8604769050334973</v>
      </c>
    </row>
    <row r="225" spans="1:30" x14ac:dyDescent="0.3">
      <c r="A225" s="1" t="s">
        <v>11</v>
      </c>
      <c r="B225" s="1" t="s">
        <v>13</v>
      </c>
      <c r="C225" s="1" t="s">
        <v>16</v>
      </c>
      <c r="D225" s="1" t="s">
        <v>15</v>
      </c>
      <c r="E225" s="1">
        <v>2</v>
      </c>
      <c r="F225" s="12">
        <v>13.42</v>
      </c>
      <c r="G225" s="12">
        <v>1.58</v>
      </c>
      <c r="I225" s="1">
        <f t="shared" si="21"/>
        <v>1</v>
      </c>
      <c r="J225" s="1">
        <f t="shared" si="22"/>
        <v>2</v>
      </c>
      <c r="K225" s="1">
        <f t="shared" si="23"/>
        <v>2</v>
      </c>
      <c r="L225" s="1">
        <f t="shared" si="27"/>
        <v>2</v>
      </c>
      <c r="M225" s="1">
        <v>2</v>
      </c>
      <c r="N225" s="12">
        <v>13.42</v>
      </c>
      <c r="O225" s="12">
        <v>1.58</v>
      </c>
      <c r="P225" s="12">
        <f>'Model output'!$B$17+'Model output'!$B$18*tips_table!$I225+'Model output'!$B$19*tips_table!$J225+'Model output'!$B$20*tips_table!$K225+'Model output'!$B$21*tips_table!$L225+'Model output'!$B$22*tips_table!$M225+'Model output'!$B$23*tips_table!$N225</f>
        <v>2.3340749751210375</v>
      </c>
      <c r="Q225" s="8">
        <f t="shared" si="24"/>
        <v>-0.75407497512103738</v>
      </c>
      <c r="R225" s="16">
        <f t="shared" si="25"/>
        <v>0.5686290681037931</v>
      </c>
      <c r="W225" s="1">
        <v>0.75944339705833919</v>
      </c>
      <c r="X225" s="1">
        <f>'Model output'!$B$18*tips_table!$I225</f>
        <v>3.7183538040686311E-2</v>
      </c>
      <c r="Y225" s="1">
        <f>'Model output'!$B$20*tips_table!$K225</f>
        <v>0.17745552547297233</v>
      </c>
      <c r="Z225" s="1">
        <f>'Model output'!$B$19*tips_table!$J225</f>
        <v>-0.14737551705234733</v>
      </c>
      <c r="AA225" s="1">
        <f>'Model output'!$B$21*tips_table!$L225</f>
        <v>-0.10699768562013605</v>
      </c>
      <c r="AB225" s="1">
        <f>'Model output'!$B$22*tips_table!$M225</f>
        <v>0.34786623214719364</v>
      </c>
      <c r="AC225" s="1">
        <f>'Model output'!$B$23*tips_table!$N225</f>
        <v>1.2664994850743292</v>
      </c>
      <c r="AD225" s="12">
        <f t="shared" si="26"/>
        <v>2.3340749751210375</v>
      </c>
    </row>
    <row r="226" spans="1:30" x14ac:dyDescent="0.3">
      <c r="A226" s="1" t="s">
        <v>7</v>
      </c>
      <c r="B226" s="1" t="s">
        <v>13</v>
      </c>
      <c r="C226" s="1" t="s">
        <v>16</v>
      </c>
      <c r="D226" s="1" t="s">
        <v>15</v>
      </c>
      <c r="E226" s="1">
        <v>2</v>
      </c>
      <c r="F226" s="12">
        <v>16.27</v>
      </c>
      <c r="G226" s="12">
        <v>2.5</v>
      </c>
      <c r="I226" s="1">
        <f t="shared" si="21"/>
        <v>2</v>
      </c>
      <c r="J226" s="1">
        <f t="shared" si="22"/>
        <v>2</v>
      </c>
      <c r="K226" s="1">
        <f t="shared" si="23"/>
        <v>2</v>
      </c>
      <c r="L226" s="1">
        <f t="shared" si="27"/>
        <v>2</v>
      </c>
      <c r="M226" s="1">
        <v>2</v>
      </c>
      <c r="N226" s="12">
        <v>16.27</v>
      </c>
      <c r="O226" s="12">
        <v>2.5</v>
      </c>
      <c r="P226" s="12">
        <f>'Model output'!$B$17+'Model output'!$B$18*tips_table!$I226+'Model output'!$B$19*tips_table!$J226+'Model output'!$B$20*tips_table!$K226+'Model output'!$B$21*tips_table!$L226+'Model output'!$B$22*tips_table!$M226+'Model output'!$B$23*tips_table!$N226</f>
        <v>2.6402244991871959</v>
      </c>
      <c r="Q226" s="8">
        <f t="shared" si="24"/>
        <v>-0.14022449918719593</v>
      </c>
      <c r="R226" s="16">
        <f t="shared" si="25"/>
        <v>1.9662910172299913E-2</v>
      </c>
      <c r="W226" s="1">
        <v>0.75944339705833919</v>
      </c>
      <c r="X226" s="1">
        <f>'Model output'!$B$18*tips_table!$I226</f>
        <v>7.4367076081372621E-2</v>
      </c>
      <c r="Y226" s="1">
        <f>'Model output'!$B$20*tips_table!$K226</f>
        <v>0.17745552547297233</v>
      </c>
      <c r="Z226" s="1">
        <f>'Model output'!$B$19*tips_table!$J226</f>
        <v>-0.14737551705234733</v>
      </c>
      <c r="AA226" s="1">
        <f>'Model output'!$B$21*tips_table!$L226</f>
        <v>-0.10699768562013605</v>
      </c>
      <c r="AB226" s="1">
        <f>'Model output'!$B$22*tips_table!$M226</f>
        <v>0.34786623214719364</v>
      </c>
      <c r="AC226" s="1">
        <f>'Model output'!$B$23*tips_table!$N226</f>
        <v>1.5354654710998015</v>
      </c>
      <c r="AD226" s="12">
        <f t="shared" si="26"/>
        <v>2.6402244991871959</v>
      </c>
    </row>
    <row r="227" spans="1:30" x14ac:dyDescent="0.3">
      <c r="A227" s="1" t="s">
        <v>7</v>
      </c>
      <c r="B227" s="1" t="s">
        <v>13</v>
      </c>
      <c r="C227" s="1" t="s">
        <v>16</v>
      </c>
      <c r="D227" s="1" t="s">
        <v>15</v>
      </c>
      <c r="E227" s="1">
        <v>2</v>
      </c>
      <c r="F227" s="12">
        <v>10.09</v>
      </c>
      <c r="G227" s="12">
        <v>2</v>
      </c>
      <c r="I227" s="1">
        <f t="shared" si="21"/>
        <v>2</v>
      </c>
      <c r="J227" s="1">
        <f t="shared" si="22"/>
        <v>2</v>
      </c>
      <c r="K227" s="1">
        <f t="shared" si="23"/>
        <v>2</v>
      </c>
      <c r="L227" s="1">
        <f t="shared" si="27"/>
        <v>2</v>
      </c>
      <c r="M227" s="1">
        <v>2</v>
      </c>
      <c r="N227" s="12">
        <v>10.09</v>
      </c>
      <c r="O227" s="12">
        <v>2</v>
      </c>
      <c r="P227" s="12">
        <f>'Model output'!$B$17+'Model output'!$B$18*tips_table!$I227+'Model output'!$B$19*tips_table!$J227+'Model output'!$B$20*tips_table!$K227+'Model output'!$B$21*tips_table!$L227+'Model output'!$B$22*tips_table!$M227+'Model output'!$B$23*tips_table!$N227</f>
        <v>2.0569929926477508</v>
      </c>
      <c r="Q227" s="8">
        <f t="shared" si="24"/>
        <v>-5.6992992647750818E-2</v>
      </c>
      <c r="R227" s="16">
        <f t="shared" si="25"/>
        <v>3.2482012109465788E-3</v>
      </c>
      <c r="W227" s="1">
        <v>0.75944339705833919</v>
      </c>
      <c r="X227" s="1">
        <f>'Model output'!$B$18*tips_table!$I227</f>
        <v>7.4367076081372621E-2</v>
      </c>
      <c r="Y227" s="1">
        <f>'Model output'!$B$20*tips_table!$K227</f>
        <v>0.17745552547297233</v>
      </c>
      <c r="Z227" s="1">
        <f>'Model output'!$B$19*tips_table!$J227</f>
        <v>-0.14737551705234733</v>
      </c>
      <c r="AA227" s="1">
        <f>'Model output'!$B$21*tips_table!$L227</f>
        <v>-0.10699768562013605</v>
      </c>
      <c r="AB227" s="1">
        <f>'Model output'!$B$22*tips_table!$M227</f>
        <v>0.34786623214719364</v>
      </c>
      <c r="AC227" s="1">
        <f>'Model output'!$B$23*tips_table!$N227</f>
        <v>0.95223396456035636</v>
      </c>
      <c r="AD227" s="12">
        <f t="shared" si="26"/>
        <v>2.0569929926477508</v>
      </c>
    </row>
    <row r="228" spans="1:30" x14ac:dyDescent="0.3">
      <c r="A228" s="1" t="s">
        <v>11</v>
      </c>
      <c r="B228" s="1" t="s">
        <v>8</v>
      </c>
      <c r="C228" s="1" t="s">
        <v>12</v>
      </c>
      <c r="D228" s="1" t="s">
        <v>10</v>
      </c>
      <c r="E228" s="1">
        <v>4</v>
      </c>
      <c r="F228" s="12">
        <v>20.45</v>
      </c>
      <c r="G228" s="12">
        <v>3</v>
      </c>
      <c r="I228" s="1">
        <f t="shared" si="21"/>
        <v>1</v>
      </c>
      <c r="J228" s="1">
        <f t="shared" si="22"/>
        <v>1</v>
      </c>
      <c r="K228" s="1">
        <f t="shared" si="23"/>
        <v>1</v>
      </c>
      <c r="L228" s="1">
        <f t="shared" si="27"/>
        <v>3</v>
      </c>
      <c r="M228" s="1">
        <v>4</v>
      </c>
      <c r="N228" s="12">
        <v>20.45</v>
      </c>
      <c r="O228" s="12">
        <v>3</v>
      </c>
      <c r="P228" s="12">
        <f>'Model output'!$B$17+'Model output'!$B$18*tips_table!$I228+'Model output'!$B$19*tips_table!$J228+'Model output'!$B$20*tips_table!$K228+'Model output'!$B$21*tips_table!$L228+'Model output'!$B$22*tips_table!$M228+'Model output'!$B$23*tips_table!$N228</f>
        <v>3.2768517924440155</v>
      </c>
      <c r="Q228" s="8">
        <f t="shared" si="24"/>
        <v>-0.27685179244401548</v>
      </c>
      <c r="R228" s="16">
        <f t="shared" si="25"/>
        <v>7.6646914979464228E-2</v>
      </c>
      <c r="W228" s="1">
        <v>0.75944339705833919</v>
      </c>
      <c r="X228" s="1">
        <f>'Model output'!$B$18*tips_table!$I228</f>
        <v>3.7183538040686311E-2</v>
      </c>
      <c r="Y228" s="1">
        <f>'Model output'!$B$20*tips_table!$K228</f>
        <v>8.8727762736486165E-2</v>
      </c>
      <c r="Z228" s="1">
        <f>'Model output'!$B$19*tips_table!$J228</f>
        <v>-7.3687758526173666E-2</v>
      </c>
      <c r="AA228" s="1">
        <f>'Model output'!$B$21*tips_table!$L228</f>
        <v>-0.16049652843020407</v>
      </c>
      <c r="AB228" s="1">
        <f>'Model output'!$B$22*tips_table!$M228</f>
        <v>0.69573246429438729</v>
      </c>
      <c r="AC228" s="1">
        <f>'Model output'!$B$23*tips_table!$N228</f>
        <v>1.9299489172704942</v>
      </c>
      <c r="AD228" s="12">
        <f t="shared" si="26"/>
        <v>3.2768517924440155</v>
      </c>
    </row>
    <row r="229" spans="1:30" x14ac:dyDescent="0.3">
      <c r="A229" s="1" t="s">
        <v>11</v>
      </c>
      <c r="B229" s="1" t="s">
        <v>8</v>
      </c>
      <c r="C229" s="1" t="s">
        <v>12</v>
      </c>
      <c r="D229" s="1" t="s">
        <v>10</v>
      </c>
      <c r="E229" s="1">
        <v>2</v>
      </c>
      <c r="F229" s="12">
        <v>13.28</v>
      </c>
      <c r="G229" s="12">
        <v>2.72</v>
      </c>
      <c r="I229" s="1">
        <f t="shared" si="21"/>
        <v>1</v>
      </c>
      <c r="J229" s="1">
        <f t="shared" si="22"/>
        <v>1</v>
      </c>
      <c r="K229" s="1">
        <f t="shared" si="23"/>
        <v>1</v>
      </c>
      <c r="L229" s="1">
        <f t="shared" si="27"/>
        <v>3</v>
      </c>
      <c r="M229" s="1">
        <v>2</v>
      </c>
      <c r="N229" s="12">
        <v>13.28</v>
      </c>
      <c r="O229" s="12">
        <v>2.72</v>
      </c>
      <c r="P229" s="12">
        <f>'Model output'!$B$17+'Model output'!$B$18*tips_table!$I229+'Model output'!$B$19*tips_table!$J229+'Model output'!$B$20*tips_table!$K229+'Model output'!$B$21*tips_table!$L229+'Model output'!$B$22*tips_table!$M229+'Model output'!$B$23*tips_table!$N229</f>
        <v>2.2523237638748439</v>
      </c>
      <c r="Q229" s="8">
        <f t="shared" si="24"/>
        <v>0.4676762361251563</v>
      </c>
      <c r="R229" s="16">
        <f t="shared" si="25"/>
        <v>0.21872106183619294</v>
      </c>
      <c r="W229" s="1">
        <v>0.75944339705833919</v>
      </c>
      <c r="X229" s="1">
        <f>'Model output'!$B$18*tips_table!$I229</f>
        <v>3.7183538040686311E-2</v>
      </c>
      <c r="Y229" s="1">
        <f>'Model output'!$B$20*tips_table!$K229</f>
        <v>8.8727762736486165E-2</v>
      </c>
      <c r="Z229" s="1">
        <f>'Model output'!$B$19*tips_table!$J229</f>
        <v>-7.3687758526173666E-2</v>
      </c>
      <c r="AA229" s="1">
        <f>'Model output'!$B$21*tips_table!$L229</f>
        <v>-0.16049652843020407</v>
      </c>
      <c r="AB229" s="1">
        <f>'Model output'!$B$22*tips_table!$M229</f>
        <v>0.34786623214719364</v>
      </c>
      <c r="AC229" s="1">
        <f>'Model output'!$B$23*tips_table!$N229</f>
        <v>1.2532871208485166</v>
      </c>
      <c r="AD229" s="12">
        <f t="shared" si="26"/>
        <v>2.2523237638748439</v>
      </c>
    </row>
    <row r="230" spans="1:30" x14ac:dyDescent="0.3">
      <c r="A230" s="1" t="s">
        <v>7</v>
      </c>
      <c r="B230" s="1" t="s">
        <v>13</v>
      </c>
      <c r="C230" s="1" t="s">
        <v>12</v>
      </c>
      <c r="D230" s="1" t="s">
        <v>10</v>
      </c>
      <c r="E230" s="1">
        <v>2</v>
      </c>
      <c r="F230" s="12">
        <v>22.12</v>
      </c>
      <c r="G230" s="12">
        <v>2.88</v>
      </c>
      <c r="I230" s="1">
        <f t="shared" si="21"/>
        <v>2</v>
      </c>
      <c r="J230" s="1">
        <f t="shared" si="22"/>
        <v>2</v>
      </c>
      <c r="K230" s="1">
        <f t="shared" si="23"/>
        <v>1</v>
      </c>
      <c r="L230" s="1">
        <f t="shared" si="27"/>
        <v>3</v>
      </c>
      <c r="M230" s="1">
        <v>2</v>
      </c>
      <c r="N230" s="12">
        <v>22.12</v>
      </c>
      <c r="O230" s="12">
        <v>2.88</v>
      </c>
      <c r="P230" s="12">
        <f>'Model output'!$B$17+'Model output'!$B$18*tips_table!$I230+'Model output'!$B$19*tips_table!$J230+'Model output'!$B$20*tips_table!$K230+'Model output'!$B$21*tips_table!$L230+'Model output'!$B$22*tips_table!$M230+'Model output'!$B$23*tips_table!$N230</f>
        <v>3.0500859702192429</v>
      </c>
      <c r="Q230" s="8">
        <f t="shared" si="24"/>
        <v>-0.17008597021924299</v>
      </c>
      <c r="R230" s="16">
        <f t="shared" si="25"/>
        <v>2.8929237265421213E-2</v>
      </c>
      <c r="W230" s="1">
        <v>0.75944339705833919</v>
      </c>
      <c r="X230" s="1">
        <f>'Model output'!$B$18*tips_table!$I230</f>
        <v>7.4367076081372621E-2</v>
      </c>
      <c r="Y230" s="1">
        <f>'Model output'!$B$20*tips_table!$K230</f>
        <v>8.8727762736486165E-2</v>
      </c>
      <c r="Z230" s="1">
        <f>'Model output'!$B$19*tips_table!$J230</f>
        <v>-0.14737551705234733</v>
      </c>
      <c r="AA230" s="1">
        <f>'Model output'!$B$21*tips_table!$L230</f>
        <v>-0.16049652843020407</v>
      </c>
      <c r="AB230" s="1">
        <f>'Model output'!$B$22*tips_table!$M230</f>
        <v>0.34786623214719364</v>
      </c>
      <c r="AC230" s="1">
        <f>'Model output'!$B$23*tips_table!$N230</f>
        <v>2.0875535476784028</v>
      </c>
      <c r="AD230" s="12">
        <f t="shared" si="26"/>
        <v>3.0500859702192429</v>
      </c>
    </row>
    <row r="231" spans="1:30" x14ac:dyDescent="0.3">
      <c r="A231" s="1" t="s">
        <v>11</v>
      </c>
      <c r="B231" s="1" t="s">
        <v>13</v>
      </c>
      <c r="C231" s="1" t="s">
        <v>12</v>
      </c>
      <c r="D231" s="1" t="s">
        <v>10</v>
      </c>
      <c r="E231" s="1">
        <v>4</v>
      </c>
      <c r="F231" s="12">
        <v>24.01</v>
      </c>
      <c r="G231" s="12">
        <v>2</v>
      </c>
      <c r="I231" s="1">
        <f t="shared" si="21"/>
        <v>1</v>
      </c>
      <c r="J231" s="1">
        <f t="shared" si="22"/>
        <v>2</v>
      </c>
      <c r="K231" s="1">
        <f t="shared" si="23"/>
        <v>1</v>
      </c>
      <c r="L231" s="1">
        <f t="shared" si="27"/>
        <v>3</v>
      </c>
      <c r="M231" s="1">
        <v>4</v>
      </c>
      <c r="N231" s="12">
        <v>24.01</v>
      </c>
      <c r="O231" s="12">
        <v>2</v>
      </c>
      <c r="P231" s="12">
        <f>'Model output'!$B$17+'Model output'!$B$18*tips_table!$I231+'Model output'!$B$19*tips_table!$J231+'Model output'!$B$20*tips_table!$K231+'Model output'!$B$21*tips_table!$L231+'Model output'!$B$22*tips_table!$M231+'Model output'!$B$23*tips_table!$N231</f>
        <v>3.5391355813742216</v>
      </c>
      <c r="Q231" s="8">
        <f t="shared" si="24"/>
        <v>-1.5391355813742216</v>
      </c>
      <c r="R231" s="16">
        <f t="shared" si="25"/>
        <v>2.3689383378521631</v>
      </c>
      <c r="W231" s="1">
        <v>0.75944339705833919</v>
      </c>
      <c r="X231" s="1">
        <f>'Model output'!$B$18*tips_table!$I231</f>
        <v>3.7183538040686311E-2</v>
      </c>
      <c r="Y231" s="1">
        <f>'Model output'!$B$20*tips_table!$K231</f>
        <v>8.8727762736486165E-2</v>
      </c>
      <c r="Z231" s="1">
        <f>'Model output'!$B$19*tips_table!$J231</f>
        <v>-0.14737551705234733</v>
      </c>
      <c r="AA231" s="1">
        <f>'Model output'!$B$21*tips_table!$L231</f>
        <v>-0.16049652843020407</v>
      </c>
      <c r="AB231" s="1">
        <f>'Model output'!$B$22*tips_table!$M231</f>
        <v>0.69573246429438729</v>
      </c>
      <c r="AC231" s="1">
        <f>'Model output'!$B$23*tips_table!$N231</f>
        <v>2.2659204647268738</v>
      </c>
      <c r="AD231" s="12">
        <f t="shared" si="26"/>
        <v>3.5391355813742216</v>
      </c>
    </row>
    <row r="232" spans="1:30" x14ac:dyDescent="0.3">
      <c r="A232" s="1" t="s">
        <v>11</v>
      </c>
      <c r="B232" s="1" t="s">
        <v>13</v>
      </c>
      <c r="C232" s="1" t="s">
        <v>12</v>
      </c>
      <c r="D232" s="1" t="s">
        <v>10</v>
      </c>
      <c r="E232" s="1">
        <v>3</v>
      </c>
      <c r="F232" s="12">
        <v>15.69</v>
      </c>
      <c r="G232" s="12">
        <v>3</v>
      </c>
      <c r="I232" s="1">
        <f t="shared" si="21"/>
        <v>1</v>
      </c>
      <c r="J232" s="1">
        <f t="shared" si="22"/>
        <v>2</v>
      </c>
      <c r="K232" s="1">
        <f t="shared" si="23"/>
        <v>1</v>
      </c>
      <c r="L232" s="1">
        <f t="shared" si="27"/>
        <v>3</v>
      </c>
      <c r="M232" s="1">
        <v>3</v>
      </c>
      <c r="N232" s="12">
        <v>15.69</v>
      </c>
      <c r="O232" s="12">
        <v>3</v>
      </c>
      <c r="P232" s="12">
        <f>'Model output'!$B$17+'Model output'!$B$18*tips_table!$I232+'Model output'!$B$19*tips_table!$J232+'Model output'!$B$20*tips_table!$K232+'Model output'!$B$21*tips_table!$L232+'Model output'!$B$22*tips_table!$M232+'Model output'!$B$23*tips_table!$N232</f>
        <v>2.5800105341666142</v>
      </c>
      <c r="Q232" s="8">
        <f t="shared" si="24"/>
        <v>0.41998946583338581</v>
      </c>
      <c r="R232" s="16">
        <f t="shared" si="25"/>
        <v>0.17639115141101275</v>
      </c>
      <c r="W232" s="1">
        <v>0.75944339705833919</v>
      </c>
      <c r="X232" s="1">
        <f>'Model output'!$B$18*tips_table!$I232</f>
        <v>3.7183538040686311E-2</v>
      </c>
      <c r="Y232" s="1">
        <f>'Model output'!$B$20*tips_table!$K232</f>
        <v>8.8727762736486165E-2</v>
      </c>
      <c r="Z232" s="1">
        <f>'Model output'!$B$19*tips_table!$J232</f>
        <v>-0.14737551705234733</v>
      </c>
      <c r="AA232" s="1">
        <f>'Model output'!$B$21*tips_table!$L232</f>
        <v>-0.16049652843020407</v>
      </c>
      <c r="AB232" s="1">
        <f>'Model output'!$B$22*tips_table!$M232</f>
        <v>0.52179934822079044</v>
      </c>
      <c r="AC232" s="1">
        <f>'Model output'!$B$23*tips_table!$N232</f>
        <v>1.4807285335928633</v>
      </c>
      <c r="AD232" s="12">
        <f t="shared" si="26"/>
        <v>2.5800105341666142</v>
      </c>
    </row>
    <row r="233" spans="1:30" x14ac:dyDescent="0.3">
      <c r="A233" s="1" t="s">
        <v>11</v>
      </c>
      <c r="B233" s="1" t="s">
        <v>8</v>
      </c>
      <c r="C233" s="1" t="s">
        <v>12</v>
      </c>
      <c r="D233" s="1" t="s">
        <v>10</v>
      </c>
      <c r="E233" s="1">
        <v>2</v>
      </c>
      <c r="F233" s="12">
        <v>11.61</v>
      </c>
      <c r="G233" s="12">
        <v>3.39</v>
      </c>
      <c r="I233" s="1">
        <f t="shared" si="21"/>
        <v>1</v>
      </c>
      <c r="J233" s="1">
        <f t="shared" si="22"/>
        <v>1</v>
      </c>
      <c r="K233" s="1">
        <f t="shared" si="23"/>
        <v>1</v>
      </c>
      <c r="L233" s="1">
        <f t="shared" si="27"/>
        <v>3</v>
      </c>
      <c r="M233" s="1">
        <v>2</v>
      </c>
      <c r="N233" s="12">
        <v>11.61</v>
      </c>
      <c r="O233" s="12">
        <v>3.39</v>
      </c>
      <c r="P233" s="12">
        <f>'Model output'!$B$17+'Model output'!$B$18*tips_table!$I233+'Model output'!$B$19*tips_table!$J233+'Model output'!$B$20*tips_table!$K233+'Model output'!$B$21*tips_table!$L233+'Model output'!$B$22*tips_table!$M233+'Model output'!$B$23*tips_table!$N233</f>
        <v>2.0947191334669357</v>
      </c>
      <c r="Q233" s="8">
        <f t="shared" si="24"/>
        <v>1.2952808665330644</v>
      </c>
      <c r="R233" s="16">
        <f t="shared" si="25"/>
        <v>1.6777525232066461</v>
      </c>
      <c r="W233" s="1">
        <v>0.75944339705833919</v>
      </c>
      <c r="X233" s="1">
        <f>'Model output'!$B$18*tips_table!$I233</f>
        <v>3.7183538040686311E-2</v>
      </c>
      <c r="Y233" s="1">
        <f>'Model output'!$B$20*tips_table!$K233</f>
        <v>8.8727762736486165E-2</v>
      </c>
      <c r="Z233" s="1">
        <f>'Model output'!$B$19*tips_table!$J233</f>
        <v>-7.3687758526173666E-2</v>
      </c>
      <c r="AA233" s="1">
        <f>'Model output'!$B$21*tips_table!$L233</f>
        <v>-0.16049652843020407</v>
      </c>
      <c r="AB233" s="1">
        <f>'Model output'!$B$22*tips_table!$M233</f>
        <v>0.34786623214719364</v>
      </c>
      <c r="AC233" s="1">
        <f>'Model output'!$B$23*tips_table!$N233</f>
        <v>1.0956824904406082</v>
      </c>
      <c r="AD233" s="12">
        <f t="shared" si="26"/>
        <v>2.0947191334669357</v>
      </c>
    </row>
    <row r="234" spans="1:30" x14ac:dyDescent="0.3">
      <c r="A234" s="1" t="s">
        <v>11</v>
      </c>
      <c r="B234" s="1" t="s">
        <v>8</v>
      </c>
      <c r="C234" s="1" t="s">
        <v>12</v>
      </c>
      <c r="D234" s="1" t="s">
        <v>10</v>
      </c>
      <c r="E234" s="1">
        <v>2</v>
      </c>
      <c r="F234" s="12">
        <v>10.77</v>
      </c>
      <c r="G234" s="12">
        <v>1.47</v>
      </c>
      <c r="I234" s="1">
        <f t="shared" si="21"/>
        <v>1</v>
      </c>
      <c r="J234" s="1">
        <f t="shared" si="22"/>
        <v>1</v>
      </c>
      <c r="K234" s="1">
        <f t="shared" si="23"/>
        <v>1</v>
      </c>
      <c r="L234" s="1">
        <f t="shared" si="27"/>
        <v>3</v>
      </c>
      <c r="M234" s="1">
        <v>2</v>
      </c>
      <c r="N234" s="12">
        <v>10.77</v>
      </c>
      <c r="O234" s="12">
        <v>1.47</v>
      </c>
      <c r="P234" s="12">
        <f>'Model output'!$B$17+'Model output'!$B$18*tips_table!$I234+'Model output'!$B$19*tips_table!$J234+'Model output'!$B$20*tips_table!$K234+'Model output'!$B$21*tips_table!$L234+'Model output'!$B$22*tips_table!$M234+'Model output'!$B$23*tips_table!$N234</f>
        <v>2.0154449481120595</v>
      </c>
      <c r="Q234" s="8">
        <f t="shared" si="24"/>
        <v>-0.54544494811205957</v>
      </c>
      <c r="R234" s="16">
        <f t="shared" si="25"/>
        <v>0.29751019142096735</v>
      </c>
      <c r="W234" s="1">
        <v>0.75944339705833919</v>
      </c>
      <c r="X234" s="1">
        <f>'Model output'!$B$18*tips_table!$I234</f>
        <v>3.7183538040686311E-2</v>
      </c>
      <c r="Y234" s="1">
        <f>'Model output'!$B$20*tips_table!$K234</f>
        <v>8.8727762736486165E-2</v>
      </c>
      <c r="Z234" s="1">
        <f>'Model output'!$B$19*tips_table!$J234</f>
        <v>-7.3687758526173666E-2</v>
      </c>
      <c r="AA234" s="1">
        <f>'Model output'!$B$21*tips_table!$L234</f>
        <v>-0.16049652843020407</v>
      </c>
      <c r="AB234" s="1">
        <f>'Model output'!$B$22*tips_table!$M234</f>
        <v>0.34786623214719364</v>
      </c>
      <c r="AC234" s="1">
        <f>'Model output'!$B$23*tips_table!$N234</f>
        <v>1.0164083050857322</v>
      </c>
      <c r="AD234" s="12">
        <f t="shared" si="26"/>
        <v>2.0154449481120595</v>
      </c>
    </row>
    <row r="235" spans="1:30" x14ac:dyDescent="0.3">
      <c r="A235" s="1" t="s">
        <v>11</v>
      </c>
      <c r="B235" s="1" t="s">
        <v>13</v>
      </c>
      <c r="C235" s="1" t="s">
        <v>12</v>
      </c>
      <c r="D235" s="1" t="s">
        <v>10</v>
      </c>
      <c r="E235" s="1">
        <v>2</v>
      </c>
      <c r="F235" s="12">
        <v>15.53</v>
      </c>
      <c r="G235" s="12">
        <v>3</v>
      </c>
      <c r="I235" s="1">
        <f t="shared" si="21"/>
        <v>1</v>
      </c>
      <c r="J235" s="1">
        <f t="shared" si="22"/>
        <v>2</v>
      </c>
      <c r="K235" s="1">
        <f t="shared" si="23"/>
        <v>1</v>
      </c>
      <c r="L235" s="1">
        <f t="shared" si="27"/>
        <v>3</v>
      </c>
      <c r="M235" s="1">
        <v>2</v>
      </c>
      <c r="N235" s="12">
        <v>15.53</v>
      </c>
      <c r="O235" s="12">
        <v>3</v>
      </c>
      <c r="P235" s="12">
        <f>'Model output'!$B$17+'Model output'!$B$18*tips_table!$I235+'Model output'!$B$19*tips_table!$J235+'Model output'!$B$20*tips_table!$K235+'Model output'!$B$21*tips_table!$L235+'Model output'!$B$22*tips_table!$M235+'Model output'!$B$23*tips_table!$N235</f>
        <v>2.390977573263517</v>
      </c>
      <c r="Q235" s="8">
        <f t="shared" si="24"/>
        <v>0.60902242673648299</v>
      </c>
      <c r="R235" s="16">
        <f t="shared" si="25"/>
        <v>0.37090831626799481</v>
      </c>
      <c r="W235" s="1">
        <v>0.75944339705833919</v>
      </c>
      <c r="X235" s="1">
        <f>'Model output'!$B$18*tips_table!$I235</f>
        <v>3.7183538040686311E-2</v>
      </c>
      <c r="Y235" s="1">
        <f>'Model output'!$B$20*tips_table!$K235</f>
        <v>8.8727762736486165E-2</v>
      </c>
      <c r="Z235" s="1">
        <f>'Model output'!$B$19*tips_table!$J235</f>
        <v>-0.14737551705234733</v>
      </c>
      <c r="AA235" s="1">
        <f>'Model output'!$B$21*tips_table!$L235</f>
        <v>-0.16049652843020407</v>
      </c>
      <c r="AB235" s="1">
        <f>'Model output'!$B$22*tips_table!$M235</f>
        <v>0.34786623214719364</v>
      </c>
      <c r="AC235" s="1">
        <f>'Model output'!$B$23*tips_table!$N235</f>
        <v>1.4656286887633632</v>
      </c>
      <c r="AD235" s="12">
        <f t="shared" si="26"/>
        <v>2.390977573263517</v>
      </c>
    </row>
    <row r="236" spans="1:30" x14ac:dyDescent="0.3">
      <c r="A236" s="1" t="s">
        <v>11</v>
      </c>
      <c r="B236" s="1" t="s">
        <v>8</v>
      </c>
      <c r="C236" s="1" t="s">
        <v>12</v>
      </c>
      <c r="D236" s="1" t="s">
        <v>10</v>
      </c>
      <c r="E236" s="1">
        <v>2</v>
      </c>
      <c r="F236" s="12">
        <v>10.07</v>
      </c>
      <c r="G236" s="12">
        <v>1.25</v>
      </c>
      <c r="I236" s="1">
        <f t="shared" si="21"/>
        <v>1</v>
      </c>
      <c r="J236" s="1">
        <f t="shared" si="22"/>
        <v>1</v>
      </c>
      <c r="K236" s="1">
        <f t="shared" si="23"/>
        <v>1</v>
      </c>
      <c r="L236" s="1">
        <f t="shared" si="27"/>
        <v>3</v>
      </c>
      <c r="M236" s="1">
        <v>2</v>
      </c>
      <c r="N236" s="12">
        <v>10.07</v>
      </c>
      <c r="O236" s="12">
        <v>1.25</v>
      </c>
      <c r="P236" s="12">
        <f>'Model output'!$B$17+'Model output'!$B$18*tips_table!$I236+'Model output'!$B$19*tips_table!$J236+'Model output'!$B$20*tips_table!$K236+'Model output'!$B$21*tips_table!$L236+'Model output'!$B$22*tips_table!$M236+'Model output'!$B$23*tips_table!$N236</f>
        <v>1.9493831269829964</v>
      </c>
      <c r="Q236" s="8">
        <f t="shared" si="24"/>
        <v>-0.69938312698299643</v>
      </c>
      <c r="R236" s="16">
        <f t="shared" si="25"/>
        <v>0.48913675830851411</v>
      </c>
      <c r="W236" s="1">
        <v>0.75944339705833919</v>
      </c>
      <c r="X236" s="1">
        <f>'Model output'!$B$18*tips_table!$I236</f>
        <v>3.7183538040686311E-2</v>
      </c>
      <c r="Y236" s="1">
        <f>'Model output'!$B$20*tips_table!$K236</f>
        <v>8.8727762736486165E-2</v>
      </c>
      <c r="Z236" s="1">
        <f>'Model output'!$B$19*tips_table!$J236</f>
        <v>-7.3687758526173666E-2</v>
      </c>
      <c r="AA236" s="1">
        <f>'Model output'!$B$21*tips_table!$L236</f>
        <v>-0.16049652843020407</v>
      </c>
      <c r="AB236" s="1">
        <f>'Model output'!$B$22*tips_table!$M236</f>
        <v>0.34786623214719364</v>
      </c>
      <c r="AC236" s="1">
        <f>'Model output'!$B$23*tips_table!$N236</f>
        <v>0.95034648395666887</v>
      </c>
      <c r="AD236" s="12">
        <f t="shared" si="26"/>
        <v>1.9493831269829964</v>
      </c>
    </row>
    <row r="237" spans="1:30" x14ac:dyDescent="0.3">
      <c r="A237" s="1" t="s">
        <v>11</v>
      </c>
      <c r="B237" s="1" t="s">
        <v>13</v>
      </c>
      <c r="C237" s="1" t="s">
        <v>12</v>
      </c>
      <c r="D237" s="1" t="s">
        <v>10</v>
      </c>
      <c r="E237" s="1">
        <v>2</v>
      </c>
      <c r="F237" s="12">
        <v>12.6</v>
      </c>
      <c r="G237" s="12">
        <v>1</v>
      </c>
      <c r="I237" s="1">
        <f t="shared" si="21"/>
        <v>1</v>
      </c>
      <c r="J237" s="1">
        <f t="shared" si="22"/>
        <v>2</v>
      </c>
      <c r="K237" s="1">
        <f t="shared" si="23"/>
        <v>1</v>
      </c>
      <c r="L237" s="1">
        <f t="shared" si="27"/>
        <v>3</v>
      </c>
      <c r="M237" s="1">
        <v>2</v>
      </c>
      <c r="N237" s="12">
        <v>12.6</v>
      </c>
      <c r="O237" s="12">
        <v>1</v>
      </c>
      <c r="P237" s="12">
        <f>'Model output'!$B$17+'Model output'!$B$18*tips_table!$I237+'Model output'!$B$19*tips_table!$J237+'Model output'!$B$20*tips_table!$K237+'Model output'!$B$21*tips_table!$L237+'Model output'!$B$22*tips_table!$M237+'Model output'!$B$23*tips_table!$N237</f>
        <v>2.1144616648232946</v>
      </c>
      <c r="Q237" s="8">
        <f t="shared" si="24"/>
        <v>-1.1144616648232946</v>
      </c>
      <c r="R237" s="16">
        <f t="shared" si="25"/>
        <v>1.2420248023607094</v>
      </c>
      <c r="W237" s="1">
        <v>0.75944339705833919</v>
      </c>
      <c r="X237" s="1">
        <f>'Model output'!$B$18*tips_table!$I237</f>
        <v>3.7183538040686311E-2</v>
      </c>
      <c r="Y237" s="1">
        <f>'Model output'!$B$20*tips_table!$K237</f>
        <v>8.8727762736486165E-2</v>
      </c>
      <c r="Z237" s="1">
        <f>'Model output'!$B$19*tips_table!$J237</f>
        <v>-0.14737551705234733</v>
      </c>
      <c r="AA237" s="1">
        <f>'Model output'!$B$21*tips_table!$L237</f>
        <v>-0.16049652843020407</v>
      </c>
      <c r="AB237" s="1">
        <f>'Model output'!$B$22*tips_table!$M237</f>
        <v>0.34786623214719364</v>
      </c>
      <c r="AC237" s="1">
        <f>'Model output'!$B$23*tips_table!$N237</f>
        <v>1.1891127803231407</v>
      </c>
      <c r="AD237" s="12">
        <f t="shared" si="26"/>
        <v>2.1144616648232946</v>
      </c>
    </row>
    <row r="238" spans="1:30" x14ac:dyDescent="0.3">
      <c r="A238" s="1" t="s">
        <v>11</v>
      </c>
      <c r="B238" s="1" t="s">
        <v>13</v>
      </c>
      <c r="C238" s="1" t="s">
        <v>12</v>
      </c>
      <c r="D238" s="1" t="s">
        <v>10</v>
      </c>
      <c r="E238" s="1">
        <v>2</v>
      </c>
      <c r="F238" s="12">
        <v>32.83</v>
      </c>
      <c r="G238" s="12">
        <v>1.17</v>
      </c>
      <c r="I238" s="1">
        <f t="shared" si="21"/>
        <v>1</v>
      </c>
      <c r="J238" s="1">
        <f t="shared" si="22"/>
        <v>2</v>
      </c>
      <c r="K238" s="1">
        <f t="shared" si="23"/>
        <v>1</v>
      </c>
      <c r="L238" s="1">
        <f t="shared" si="27"/>
        <v>3</v>
      </c>
      <c r="M238" s="1">
        <v>2</v>
      </c>
      <c r="N238" s="12">
        <v>32.83</v>
      </c>
      <c r="O238" s="12">
        <v>1.17</v>
      </c>
      <c r="P238" s="12">
        <f>'Model output'!$B$17+'Model output'!$B$18*tips_table!$I238+'Model output'!$B$19*tips_table!$J238+'Model output'!$B$20*tips_table!$K238+'Model output'!$B$21*tips_table!$L238+'Model output'!$B$22*tips_table!$M238+'Model output'!$B$23*tips_table!$N238</f>
        <v>4.023648295453226</v>
      </c>
      <c r="Q238" s="8">
        <f t="shared" si="24"/>
        <v>-2.8536482954532261</v>
      </c>
      <c r="R238" s="16">
        <f t="shared" si="25"/>
        <v>8.143308594143102</v>
      </c>
      <c r="W238" s="1">
        <v>0.75944339705833919</v>
      </c>
      <c r="X238" s="1">
        <f>'Model output'!$B$18*tips_table!$I238</f>
        <v>3.7183538040686311E-2</v>
      </c>
      <c r="Y238" s="1">
        <f>'Model output'!$B$20*tips_table!$K238</f>
        <v>8.8727762736486165E-2</v>
      </c>
      <c r="Z238" s="1">
        <f>'Model output'!$B$19*tips_table!$J238</f>
        <v>-0.14737551705234733</v>
      </c>
      <c r="AA238" s="1">
        <f>'Model output'!$B$21*tips_table!$L238</f>
        <v>-0.16049652843020407</v>
      </c>
      <c r="AB238" s="1">
        <f>'Model output'!$B$22*tips_table!$M238</f>
        <v>0.34786623214719364</v>
      </c>
      <c r="AC238" s="1">
        <f>'Model output'!$B$23*tips_table!$N238</f>
        <v>3.0982994109530719</v>
      </c>
      <c r="AD238" s="12">
        <f t="shared" si="26"/>
        <v>4.023648295453226</v>
      </c>
    </row>
    <row r="239" spans="1:30" x14ac:dyDescent="0.3">
      <c r="A239" s="1" t="s">
        <v>7</v>
      </c>
      <c r="B239" s="1" t="s">
        <v>8</v>
      </c>
      <c r="C239" s="1" t="s">
        <v>12</v>
      </c>
      <c r="D239" s="1" t="s">
        <v>10</v>
      </c>
      <c r="E239" s="1">
        <v>3</v>
      </c>
      <c r="F239" s="12">
        <v>35.83</v>
      </c>
      <c r="G239" s="12">
        <v>4.67</v>
      </c>
      <c r="I239" s="1">
        <f t="shared" si="21"/>
        <v>2</v>
      </c>
      <c r="J239" s="1">
        <f t="shared" si="22"/>
        <v>1</v>
      </c>
      <c r="K239" s="1">
        <f t="shared" si="23"/>
        <v>1</v>
      </c>
      <c r="L239" s="1">
        <f t="shared" si="27"/>
        <v>3</v>
      </c>
      <c r="M239" s="1">
        <v>3</v>
      </c>
      <c r="N239" s="12">
        <v>35.83</v>
      </c>
      <c r="O239" s="12">
        <v>4.67</v>
      </c>
      <c r="P239" s="12">
        <f>'Model output'!$B$17+'Model output'!$B$18*tips_table!$I239+'Model output'!$B$19*tips_table!$J239+'Model output'!$B$20*tips_table!$K239+'Model output'!$B$21*tips_table!$L239+'Model output'!$B$22*tips_table!$M239+'Model output'!$B$23*tips_table!$N239</f>
        <v>4.5915747986468123</v>
      </c>
      <c r="Q239" s="8">
        <f t="shared" si="24"/>
        <v>7.8425201353187646E-2</v>
      </c>
      <c r="R239" s="16">
        <f t="shared" si="25"/>
        <v>6.1505122072880256E-3</v>
      </c>
      <c r="W239" s="1">
        <v>0.75944339705833919</v>
      </c>
      <c r="X239" s="1">
        <f>'Model output'!$B$18*tips_table!$I239</f>
        <v>7.4367076081372621E-2</v>
      </c>
      <c r="Y239" s="1">
        <f>'Model output'!$B$20*tips_table!$K239</f>
        <v>8.8727762736486165E-2</v>
      </c>
      <c r="Z239" s="1">
        <f>'Model output'!$B$19*tips_table!$J239</f>
        <v>-7.3687758526173666E-2</v>
      </c>
      <c r="AA239" s="1">
        <f>'Model output'!$B$21*tips_table!$L239</f>
        <v>-0.16049652843020407</v>
      </c>
      <c r="AB239" s="1">
        <f>'Model output'!$B$22*tips_table!$M239</f>
        <v>0.52179934822079044</v>
      </c>
      <c r="AC239" s="1">
        <f>'Model output'!$B$23*tips_table!$N239</f>
        <v>3.381421501506201</v>
      </c>
      <c r="AD239" s="12">
        <f t="shared" si="26"/>
        <v>4.5915747986468123</v>
      </c>
    </row>
    <row r="240" spans="1:30" x14ac:dyDescent="0.3">
      <c r="A240" s="1" t="s">
        <v>11</v>
      </c>
      <c r="B240" s="1" t="s">
        <v>8</v>
      </c>
      <c r="C240" s="1" t="s">
        <v>12</v>
      </c>
      <c r="D240" s="1" t="s">
        <v>10</v>
      </c>
      <c r="E240" s="1">
        <v>3</v>
      </c>
      <c r="F240" s="12">
        <v>29.03</v>
      </c>
      <c r="G240" s="12">
        <v>5.92</v>
      </c>
      <c r="I240" s="1">
        <f t="shared" si="21"/>
        <v>1</v>
      </c>
      <c r="J240" s="1">
        <f t="shared" si="22"/>
        <v>1</v>
      </c>
      <c r="K240" s="1">
        <f t="shared" si="23"/>
        <v>1</v>
      </c>
      <c r="L240" s="1">
        <f t="shared" si="27"/>
        <v>3</v>
      </c>
      <c r="M240" s="1">
        <v>3</v>
      </c>
      <c r="N240" s="12">
        <v>29.03</v>
      </c>
      <c r="O240" s="12">
        <v>5.92</v>
      </c>
      <c r="P240" s="12">
        <f>'Model output'!$B$17+'Model output'!$B$18*tips_table!$I240+'Model output'!$B$19*tips_table!$J240+'Model output'!$B$20*tips_table!$K240+'Model output'!$B$21*tips_table!$L240+'Model output'!$B$22*tips_table!$M240+'Model output'!$B$23*tips_table!$N240</f>
        <v>3.9126478553523669</v>
      </c>
      <c r="Q240" s="8">
        <f t="shared" si="24"/>
        <v>2.007352144647633</v>
      </c>
      <c r="R240" s="16">
        <f t="shared" si="25"/>
        <v>4.0294626326214518</v>
      </c>
      <c r="W240" s="1">
        <v>0.75944339705833919</v>
      </c>
      <c r="X240" s="1">
        <f>'Model output'!$B$18*tips_table!$I240</f>
        <v>3.7183538040686311E-2</v>
      </c>
      <c r="Y240" s="1">
        <f>'Model output'!$B$20*tips_table!$K240</f>
        <v>8.8727762736486165E-2</v>
      </c>
      <c r="Z240" s="1">
        <f>'Model output'!$B$19*tips_table!$J240</f>
        <v>-7.3687758526173666E-2</v>
      </c>
      <c r="AA240" s="1">
        <f>'Model output'!$B$21*tips_table!$L240</f>
        <v>-0.16049652843020407</v>
      </c>
      <c r="AB240" s="1">
        <f>'Model output'!$B$22*tips_table!$M240</f>
        <v>0.52179934822079044</v>
      </c>
      <c r="AC240" s="1">
        <f>'Model output'!$B$23*tips_table!$N240</f>
        <v>2.7396780962524425</v>
      </c>
      <c r="AD240" s="12">
        <f t="shared" si="26"/>
        <v>3.9126478553523669</v>
      </c>
    </row>
    <row r="241" spans="1:30" x14ac:dyDescent="0.3">
      <c r="A241" s="1" t="s">
        <v>7</v>
      </c>
      <c r="B241" s="1" t="s">
        <v>13</v>
      </c>
      <c r="C241" s="1" t="s">
        <v>12</v>
      </c>
      <c r="D241" s="1" t="s">
        <v>10</v>
      </c>
      <c r="E241" s="1">
        <v>2</v>
      </c>
      <c r="F241" s="12">
        <v>27.18</v>
      </c>
      <c r="G241" s="12">
        <v>2</v>
      </c>
      <c r="I241" s="1">
        <f t="shared" si="21"/>
        <v>2</v>
      </c>
      <c r="J241" s="1">
        <f t="shared" si="22"/>
        <v>2</v>
      </c>
      <c r="K241" s="1">
        <f t="shared" si="23"/>
        <v>1</v>
      </c>
      <c r="L241" s="1">
        <f t="shared" si="27"/>
        <v>3</v>
      </c>
      <c r="M241" s="1">
        <v>2</v>
      </c>
      <c r="N241" s="12">
        <v>27.18</v>
      </c>
      <c r="O241" s="12">
        <v>2</v>
      </c>
      <c r="P241" s="12">
        <f>'Model output'!$B$17+'Model output'!$B$18*tips_table!$I241+'Model output'!$B$19*tips_table!$J241+'Model output'!$B$20*tips_table!$K241+'Model output'!$B$21*tips_table!$L241+'Model output'!$B$22*tips_table!$M241+'Model output'!$B$23*tips_table!$N241</f>
        <v>3.5276185629521866</v>
      </c>
      <c r="Q241" s="8">
        <f t="shared" si="24"/>
        <v>-1.5276185629521866</v>
      </c>
      <c r="R241" s="16">
        <f t="shared" si="25"/>
        <v>2.3336184738761037</v>
      </c>
      <c r="W241" s="1">
        <v>0.75944339705833919</v>
      </c>
      <c r="X241" s="1">
        <f>'Model output'!$B$18*tips_table!$I241</f>
        <v>7.4367076081372621E-2</v>
      </c>
      <c r="Y241" s="1">
        <f>'Model output'!$B$20*tips_table!$K241</f>
        <v>8.8727762736486165E-2</v>
      </c>
      <c r="Z241" s="1">
        <f>'Model output'!$B$19*tips_table!$J241</f>
        <v>-0.14737551705234733</v>
      </c>
      <c r="AA241" s="1">
        <f>'Model output'!$B$21*tips_table!$L241</f>
        <v>-0.16049652843020407</v>
      </c>
      <c r="AB241" s="1">
        <f>'Model output'!$B$22*tips_table!$M241</f>
        <v>0.34786623214719364</v>
      </c>
      <c r="AC241" s="1">
        <f>'Model output'!$B$23*tips_table!$N241</f>
        <v>2.5650861404113465</v>
      </c>
      <c r="AD241" s="12">
        <f t="shared" si="26"/>
        <v>3.5276185629521866</v>
      </c>
    </row>
    <row r="242" spans="1:30" x14ac:dyDescent="0.3">
      <c r="A242" s="1" t="s">
        <v>11</v>
      </c>
      <c r="B242" s="1" t="s">
        <v>13</v>
      </c>
      <c r="C242" s="1" t="s">
        <v>12</v>
      </c>
      <c r="D242" s="1" t="s">
        <v>10</v>
      </c>
      <c r="E242" s="1">
        <v>2</v>
      </c>
      <c r="F242" s="12">
        <v>22.67</v>
      </c>
      <c r="G242" s="12">
        <v>2</v>
      </c>
      <c r="I242" s="1">
        <f t="shared" si="21"/>
        <v>1</v>
      </c>
      <c r="J242" s="1">
        <f t="shared" si="22"/>
        <v>2</v>
      </c>
      <c r="K242" s="1">
        <f t="shared" si="23"/>
        <v>1</v>
      </c>
      <c r="L242" s="1">
        <f t="shared" si="27"/>
        <v>3</v>
      </c>
      <c r="M242" s="1">
        <v>2</v>
      </c>
      <c r="N242" s="12">
        <v>22.67</v>
      </c>
      <c r="O242" s="12">
        <v>2</v>
      </c>
      <c r="P242" s="12">
        <f>'Model output'!$B$17+'Model output'!$B$18*tips_table!$I242+'Model output'!$B$19*tips_table!$J242+'Model output'!$B$20*tips_table!$K242+'Model output'!$B$21*tips_table!$L242+'Model output'!$B$22*tips_table!$M242+'Model output'!$B$23*tips_table!$N242</f>
        <v>3.0648081487799637</v>
      </c>
      <c r="Q242" s="8">
        <f t="shared" si="24"/>
        <v>-1.0648081487799637</v>
      </c>
      <c r="R242" s="16">
        <f t="shared" si="25"/>
        <v>1.1338163937082133</v>
      </c>
      <c r="W242" s="1">
        <v>0.75944339705833919</v>
      </c>
      <c r="X242" s="1">
        <f>'Model output'!$B$18*tips_table!$I242</f>
        <v>3.7183538040686311E-2</v>
      </c>
      <c r="Y242" s="1">
        <f>'Model output'!$B$20*tips_table!$K242</f>
        <v>8.8727762736486165E-2</v>
      </c>
      <c r="Z242" s="1">
        <f>'Model output'!$B$19*tips_table!$J242</f>
        <v>-0.14737551705234733</v>
      </c>
      <c r="AA242" s="1">
        <f>'Model output'!$B$21*tips_table!$L242</f>
        <v>-0.16049652843020407</v>
      </c>
      <c r="AB242" s="1">
        <f>'Model output'!$B$22*tips_table!$M242</f>
        <v>0.34786623214719364</v>
      </c>
      <c r="AC242" s="1">
        <f>'Model output'!$B$23*tips_table!$N242</f>
        <v>2.1394592642798096</v>
      </c>
      <c r="AD242" s="12">
        <f t="shared" si="26"/>
        <v>3.0648081487799637</v>
      </c>
    </row>
    <row r="243" spans="1:30" x14ac:dyDescent="0.3">
      <c r="A243" s="1" t="s">
        <v>11</v>
      </c>
      <c r="B243" s="1" t="s">
        <v>8</v>
      </c>
      <c r="C243" s="1" t="s">
        <v>12</v>
      </c>
      <c r="D243" s="1" t="s">
        <v>10</v>
      </c>
      <c r="E243" s="1">
        <v>2</v>
      </c>
      <c r="F243" s="12">
        <v>17.82</v>
      </c>
      <c r="G243" s="12">
        <v>1.75</v>
      </c>
      <c r="I243" s="1">
        <f t="shared" si="21"/>
        <v>1</v>
      </c>
      <c r="J243" s="1">
        <f t="shared" si="22"/>
        <v>1</v>
      </c>
      <c r="K243" s="1">
        <f t="shared" si="23"/>
        <v>1</v>
      </c>
      <c r="L243" s="1">
        <f t="shared" si="27"/>
        <v>3</v>
      </c>
      <c r="M243" s="1">
        <v>2</v>
      </c>
      <c r="N243" s="12">
        <v>17.82</v>
      </c>
      <c r="O243" s="12">
        <v>1.75</v>
      </c>
      <c r="P243" s="12">
        <f>'Model output'!$B$17+'Model output'!$B$18*tips_table!$I243+'Model output'!$B$19*tips_table!$J243+'Model output'!$B$20*tips_table!$K243+'Model output'!$B$21*tips_table!$L243+'Model output'!$B$22*tips_table!$M243+'Model output'!$B$23*tips_table!$N243</f>
        <v>2.6807818609119121</v>
      </c>
      <c r="Q243" s="8">
        <f t="shared" si="24"/>
        <v>-0.93078186091191206</v>
      </c>
      <c r="R243" s="16">
        <f t="shared" si="25"/>
        <v>0.86635487260264199</v>
      </c>
      <c r="W243" s="1">
        <v>0.75944339705833919</v>
      </c>
      <c r="X243" s="1">
        <f>'Model output'!$B$18*tips_table!$I243</f>
        <v>3.7183538040686311E-2</v>
      </c>
      <c r="Y243" s="1">
        <f>'Model output'!$B$20*tips_table!$K243</f>
        <v>8.8727762736486165E-2</v>
      </c>
      <c r="Z243" s="1">
        <f>'Model output'!$B$19*tips_table!$J243</f>
        <v>-7.3687758526173666E-2</v>
      </c>
      <c r="AA243" s="1">
        <f>'Model output'!$B$21*tips_table!$L243</f>
        <v>-0.16049652843020407</v>
      </c>
      <c r="AB243" s="1">
        <f>'Model output'!$B$22*tips_table!$M243</f>
        <v>0.34786623214719364</v>
      </c>
      <c r="AC243" s="1">
        <f>'Model output'!$B$23*tips_table!$N243</f>
        <v>1.6817452178855847</v>
      </c>
      <c r="AD243" s="12">
        <f t="shared" si="26"/>
        <v>2.6807818609119121</v>
      </c>
    </row>
    <row r="244" spans="1:30" x14ac:dyDescent="0.3">
      <c r="A244" s="1" t="s">
        <v>7</v>
      </c>
      <c r="B244" s="1" t="s">
        <v>8</v>
      </c>
      <c r="C244" s="1" t="s">
        <v>14</v>
      </c>
      <c r="D244" s="1" t="s">
        <v>10</v>
      </c>
      <c r="E244" s="1">
        <v>2</v>
      </c>
      <c r="F244" s="12">
        <v>18.78</v>
      </c>
      <c r="G244" s="12">
        <v>3</v>
      </c>
      <c r="I244" s="1">
        <f t="shared" si="21"/>
        <v>2</v>
      </c>
      <c r="J244" s="1">
        <f t="shared" si="22"/>
        <v>1</v>
      </c>
      <c r="K244" s="1">
        <f t="shared" si="23"/>
        <v>1</v>
      </c>
      <c r="L244" s="1">
        <f t="shared" si="27"/>
        <v>4</v>
      </c>
      <c r="M244" s="1">
        <v>2</v>
      </c>
      <c r="N244" s="12">
        <v>18.78</v>
      </c>
      <c r="O244" s="12">
        <v>3</v>
      </c>
      <c r="P244" s="12">
        <f>'Model output'!$B$17+'Model output'!$B$18*tips_table!$I244+'Model output'!$B$19*tips_table!$J244+'Model output'!$B$20*tips_table!$K244+'Model output'!$B$21*tips_table!$L244+'Model output'!$B$22*tips_table!$M244+'Model output'!$B$23*tips_table!$N244</f>
        <v>2.7550656251195318</v>
      </c>
      <c r="Q244" s="8">
        <f t="shared" si="24"/>
        <v>0.24493437488046821</v>
      </c>
      <c r="R244" s="16">
        <f t="shared" si="25"/>
        <v>5.9992847998085734E-2</v>
      </c>
      <c r="W244" s="1">
        <v>0.75944339705833919</v>
      </c>
      <c r="X244" s="1">
        <f>'Model output'!$B$18*tips_table!$I244</f>
        <v>7.4367076081372621E-2</v>
      </c>
      <c r="Y244" s="1">
        <f>'Model output'!$B$20*tips_table!$K244</f>
        <v>8.8727762736486165E-2</v>
      </c>
      <c r="Z244" s="1">
        <f>'Model output'!$B$19*tips_table!$J244</f>
        <v>-7.3687758526173666E-2</v>
      </c>
      <c r="AA244" s="1">
        <f>'Model output'!$B$21*tips_table!$L244</f>
        <v>-0.2139953712402721</v>
      </c>
      <c r="AB244" s="1">
        <f>'Model output'!$B$22*tips_table!$M244</f>
        <v>0.34786623214719364</v>
      </c>
      <c r="AC244" s="1">
        <f>'Model output'!$B$23*tips_table!$N244</f>
        <v>1.772344286862586</v>
      </c>
      <c r="AD244" s="12">
        <f t="shared" si="26"/>
        <v>2.7550656251195318</v>
      </c>
    </row>
    <row r="246" spans="1:30" x14ac:dyDescent="0.3">
      <c r="A246">
        <f>COUNTA(A2:A244)</f>
        <v>243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0BE7D3-9171-450F-887E-1DDCBD405081}">
  <dimension ref="A1"/>
  <sheetViews>
    <sheetView showGridLines="0" zoomScale="80" zoomScaleNormal="80" workbookViewId="0">
      <selection activeCell="AB20" sqref="AB20"/>
    </sheetView>
  </sheetViews>
  <sheetFormatPr defaultRowHeight="14.4" x14ac:dyDescent="0.3"/>
  <cols>
    <col min="1" max="16384" width="8.88671875" style="15"/>
  </cols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Model output</vt:lpstr>
      <vt:lpstr>working file</vt:lpstr>
      <vt:lpstr>tips_table</vt:lpstr>
      <vt:lpstr>Dashboard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Balaji Venkateswaran</dc:creator>
  <cp:keywords/>
  <dc:description/>
  <cp:lastModifiedBy>pooja ak</cp:lastModifiedBy>
  <cp:revision/>
  <dcterms:created xsi:type="dcterms:W3CDTF">2021-10-26T16:10:41Z</dcterms:created>
  <dcterms:modified xsi:type="dcterms:W3CDTF">2025-11-19T17:44:49Z</dcterms:modified>
  <cp:category/>
  <cp:contentStatus/>
</cp:coreProperties>
</file>